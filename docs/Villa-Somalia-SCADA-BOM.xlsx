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OM by Location" sheetId="2" state="visible" r:id="rId4"/>
    <sheet name="BOM by Reference" sheetId="3" state="visible" r:id="rId5"/>
    <sheet name="Summary" sheetId="4" state="visible" r:id="rId6"/>
    <sheet name="Changes vs Offer" sheetId="5" state="visible" r:id="rId7"/>
    <sheet name="IO Capacity" sheetId="6" state="visible" r:id="rId8"/>
  </sheets>
  <definedNames>
    <definedName function="false" hidden="true" localSheetId="1" name="_xlnm._FilterDatabase" vbProcedure="false">'BOM by Location'!$A$4:$M$170</definedName>
    <definedName function="false" hidden="true" localSheetId="2" name="_xlnm._FilterDatabase" vbProcedure="false">'BOM by Reference'!$A$3:$I$65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74" authorId="0">
      <text>
        <r>
          <rPr>
            <sz val="10"/>
            <rFont val="Arial"/>
            <family val="2"/>
          </rPr>
          <t xml:space="preserve">Source: offer workbook 'Bill of Material for Villa Somalia', sheet 'BOM by Reference', Total value. Excludes P5M30 and PM5320 (no price given).</t>
        </r>
      </text>
    </comment>
  </commentList>
</comments>
</file>

<file path=xl/sharedStrings.xml><?xml version="1.0" encoding="utf-8"?>
<sst xmlns="http://schemas.openxmlformats.org/spreadsheetml/2006/main" count="1726" uniqueCount="421">
  <si>
    <t xml:space="preserve">Villa Somalia SCADA – Project Bill of Material</t>
  </si>
  <si>
    <t xml:space="preserve">Project</t>
  </si>
  <si>
    <t xml:space="preserve">Solarization Villa Somalia – Power Plant Control &amp; SCADA System</t>
  </si>
  <si>
    <t xml:space="preserve">Client</t>
  </si>
  <si>
    <t xml:space="preserve">Ministry of Energy &amp; Water Resources – Somalia</t>
  </si>
  <si>
    <t xml:space="preserve">Contractor</t>
  </si>
  <si>
    <t xml:space="preserve">Blueflag Energy Co. Ltd</t>
  </si>
  <si>
    <t xml:space="preserve">Platform</t>
  </si>
  <si>
    <t xml:space="preserve">Schneider Electric: Modicon M580 + X80, Modicon Edge I/O NTS, Easergy P5M30, PowerLogic PM5320, PAS600, EcoStruxure Machine SCADA Expert</t>
  </si>
  <si>
    <t xml:space="preserve">Basis</t>
  </si>
  <si>
    <t xml:space="preserve">Drawings BFE/PR/26/01-SCADA-001 (architecture) and -002 (communication network), I/O list docs/villa-somalia-io-list.csv, Schneider offer 'Villa Somalia' v1 and its BOM workbook.</t>
  </si>
  <si>
    <t xml:space="preserve">Revision</t>
  </si>
  <si>
    <t xml:space="preserve">Rev A – draft for internal review, 22-OCT-2026</t>
  </si>
  <si>
    <t xml:space="preserve">How to read</t>
  </si>
  <si>
    <t xml:space="preserve">BOM by Location</t>
  </si>
  <si>
    <t xml:space="preserve">Every line by panel / location, with source, status and remarks. Subtotals per location.</t>
  </si>
  <si>
    <t xml:space="preserve">BOM by Reference</t>
  </si>
  <si>
    <t xml:space="preserve">Same items summed per part number, with offer quantity and difference.</t>
  </si>
  <si>
    <t xml:space="preserve">Summary</t>
  </si>
  <si>
    <t xml:space="preserve">Priced subtotal and open RFQ lines per location.</t>
  </si>
  <si>
    <t xml:space="preserve">Changes vs Offer</t>
  </si>
  <si>
    <t xml:space="preserve">Every quantity change, replacement, removal and addition against the Schneider offer, plus options needing a decision.</t>
  </si>
  <si>
    <t xml:space="preserve">IO Capacity</t>
  </si>
  <si>
    <t xml:space="preserve">Hard-wired DI/DO required by the I/O list against channels installed, with the spare margin as an input.</t>
  </si>
  <si>
    <t xml:space="preserve">Cell colours</t>
  </si>
  <si>
    <t xml:space="preserve">Blue text</t>
  </si>
  <si>
    <t xml:space="preserve">Input: quantity, unit price or count you can change.</t>
  </si>
  <si>
    <t xml:space="preserve">Yellow fill</t>
  </si>
  <si>
    <t xml:space="preserve">Unit price not available yet – request a quotation (RFQ).</t>
  </si>
  <si>
    <t xml:space="preserve">Green text</t>
  </si>
  <si>
    <t xml:space="preserve">Value linked from another sheet.</t>
  </si>
  <si>
    <t xml:space="preserve">Status values</t>
  </si>
  <si>
    <t xml:space="preserve">Offered</t>
  </si>
  <si>
    <t xml:space="preserve">In the Schneider offer (quantity may be corrected).</t>
  </si>
  <si>
    <t xml:space="preserve">Added</t>
  </si>
  <si>
    <t xml:space="preserve">Needed by the drawings or panel design; part number is a catalogue reference.</t>
  </si>
  <si>
    <t xml:space="preserve">Added – ref. TBC</t>
  </si>
  <si>
    <t xml:space="preserve">Needed; exact part number to be selected / confirmed with the supplier.</t>
  </si>
  <si>
    <t xml:space="preserve">By others</t>
  </si>
  <si>
    <t xml:space="preserve">Supplied by another package vendor; listed so the interface is not missed. Price 0.</t>
  </si>
  <si>
    <t xml:space="preserve">Key open points</t>
  </si>
  <si>
    <t xml:space="preserve">Prices</t>
  </si>
  <si>
    <t xml:space="preserve">Unit prices are copied from the offer workbook. P5M30 and PM5320 had no price there. Currency to be confirmed.</t>
  </si>
  <si>
    <t xml:space="preserve">Field switches</t>
  </si>
  <si>
    <t xml:space="preserve">Five field switches and SW2 need 2 single-mode fibre ports; MCSESM083F23F1 is copper only. Select the fibre variant with Schneider.</t>
  </si>
  <si>
    <t xml:space="preserve">Second CPU</t>
  </si>
  <si>
    <t xml:space="preserve">The offer's second BMEP582040 is a spare. It is not a hot-standby pair (see option O2).</t>
  </si>
  <si>
    <t xml:space="preserve">PVSCL60E</t>
  </si>
  <si>
    <t xml:space="preserve">Removed: the site uses Sungrow SG350HX supplied by the PV EPC.</t>
  </si>
  <si>
    <t xml:space="preserve">Cable lengths</t>
  </si>
  <si>
    <t xml:space="preserve">Fibre, Ethernet and RS485 lengths are estimates; confirm from the cable route drawings.</t>
  </si>
  <si>
    <t xml:space="preserve">Villa Somalia SCADA – Bill of Material by Location (Schneider Electric architecture, drawings BFE/PR/26/01-SCADA-001/002)</t>
  </si>
  <si>
    <t xml:space="preserve">Blue = input quantity / price. Yellow = price to be obtained (RFQ). Prices in offer currency (to be confirmed).</t>
  </si>
  <si>
    <t xml:space="preserve">Item</t>
  </si>
  <si>
    <t xml:space="preserve">Loc</t>
  </si>
  <si>
    <t xml:space="preserve">Location</t>
  </si>
  <si>
    <t xml:space="preserve">Device / tag</t>
  </si>
  <si>
    <t xml:space="preserve">Reference</t>
  </si>
  <si>
    <t xml:space="preserve">Description</t>
  </si>
  <si>
    <t xml:space="preserve">Qty</t>
  </si>
  <si>
    <t xml:space="preserve">Unit</t>
  </si>
  <si>
    <t xml:space="preserve">Unit price</t>
  </si>
  <si>
    <t xml:space="preserve">Total price</t>
  </si>
  <si>
    <t xml:space="preserve">Source</t>
  </si>
  <si>
    <t xml:space="preserve">Status</t>
  </si>
  <si>
    <t xml:space="preserve">Remarks</t>
  </si>
  <si>
    <t xml:space="preserve">A</t>
  </si>
  <si>
    <t xml:space="preserve">Control room – SCADA, servers and network (Level 2/3)</t>
  </si>
  <si>
    <t xml:space="preserve">HMI-01/02</t>
  </si>
  <si>
    <t xml:space="preserve">HMIP67GD0F88BE7N00</t>
  </si>
  <si>
    <t xml:space="preserve">Harmony P6 industrial PC – operator stations (configuration per offer)</t>
  </si>
  <si>
    <t xml:space="preserve">pc</t>
  </si>
  <si>
    <t xml:space="preserve">Offer</t>
  </si>
  <si>
    <t xml:space="preserve">Offer gives no description; confirm screen size, CPU and OS.</t>
  </si>
  <si>
    <t xml:space="preserve">HMIEMSE3PRT4KA</t>
  </si>
  <si>
    <t xml:space="preserve">EcoStruxure Machine SCADA Expert 3rd-party runtime 4K tags, digital licence</t>
  </si>
  <si>
    <t xml:space="preserve">4K tags per station; I/O list holds 958 signals plus internal tags.</t>
  </si>
  <si>
    <t xml:space="preserve">ENG-01</t>
  </si>
  <si>
    <t xml:space="preserve">HMIEMSEBT4KA</t>
  </si>
  <si>
    <t xml:space="preserve">EcoStruxure Machine SCADA Expert build-time 4K tags, digital licence</t>
  </si>
  <si>
    <t xml:space="preserve">SRV-01</t>
  </si>
  <si>
    <t xml:space="preserve">TBC-SRV-01</t>
  </si>
  <si>
    <t xml:space="preserve">SCADA server / historian, rack industrial server, RAID 1, redundant PSU, 13-month storage</t>
  </si>
  <si>
    <t xml:space="preserve">Sheet 001</t>
  </si>
  <si>
    <t xml:space="preserve">Not in offer. Needed for historian and alarm/event archive.</t>
  </si>
  <si>
    <t xml:space="preserve">TBC-ENG-01</t>
  </si>
  <si>
    <t xml:space="preserve">Engineering workstation (laptop) with EcoStruxure Control Expert licence for M580</t>
  </si>
  <si>
    <t xml:space="preserve">Not in offer. Needed to program and maintain the M580.</t>
  </si>
  <si>
    <t xml:space="preserve">GPS-01</t>
  </si>
  <si>
    <t xml:space="preserve">TBC-GPS-01</t>
  </si>
  <si>
    <t xml:space="preserve">GPS master clock with antenna, NTP / PTP server</t>
  </si>
  <si>
    <t xml:space="preserve">Time source for 1 ms relay event stamping.</t>
  </si>
  <si>
    <t xml:space="preserve">FW-01</t>
  </si>
  <si>
    <t xml:space="preserve">TBC-FW-01</t>
  </si>
  <si>
    <t xml:space="preserve">Industrial firewall, DMZ between Level 2 and Level 3</t>
  </si>
  <si>
    <t xml:space="preserve">Only conduit to remote access (client policy TBC).</t>
  </si>
  <si>
    <t xml:space="preserve">SW1</t>
  </si>
  <si>
    <t xml:space="preserve">MCSESM083F23F1</t>
  </si>
  <si>
    <t xml:space="preserve">Modicon Extended Managed Switch 8TX – SCADA LAN (SW1)</t>
  </si>
  <si>
    <t xml:space="preserve">Offer has 2; the second is replaced by an FO variant for SW2.</t>
  </si>
  <si>
    <t xml:space="preserve">UPS-01</t>
  </si>
  <si>
    <t xml:space="preserve">SRT6KRMXLI</t>
  </si>
  <si>
    <t xml:space="preserve">APC Smart-UPS SRT 6 kVA rack/tower, 230 V – SCADA, PLC and switches</t>
  </si>
  <si>
    <t xml:space="preserve">Size from load list; add battery packs if &gt; 30 min autonomy is required.</t>
  </si>
  <si>
    <t xml:space="preserve">AP9641</t>
  </si>
  <si>
    <t xml:space="preserve">UPS Network Management Card 3 (SNMP / Modbus TCP)</t>
  </si>
  <si>
    <t xml:space="preserve">Sheet 002</t>
  </si>
  <si>
    <t xml:space="preserve">Address 10.10.30.61.</t>
  </si>
  <si>
    <t xml:space="preserve">RACK-CR</t>
  </si>
  <si>
    <t xml:space="preserve">AR3100</t>
  </si>
  <si>
    <t xml:space="preserve">NetShelter SX 42U 600 × 1070 mm rack – server, SW1, FW-01, GPS-01, UPS-01</t>
  </si>
  <si>
    <t xml:space="preserve">CONSOLE</t>
  </si>
  <si>
    <t xml:space="preserve">TBC-CONSOLE</t>
  </si>
  <si>
    <t xml:space="preserve">Operator console, 2 positions, 2 × 27" monitors each, keyboard / mouse</t>
  </si>
  <si>
    <t xml:space="preserve">lot</t>
  </si>
  <si>
    <t xml:space="preserve">May be by building contractor.</t>
  </si>
  <si>
    <t xml:space="preserve">Subtotal A – Control room – SCADA, servers and network (Level 2/3)</t>
  </si>
  <si>
    <t xml:space="preserve">B</t>
  </si>
  <si>
    <t xml:space="preserve">Main PLC panel – Drop 0 (control room)</t>
  </si>
  <si>
    <t xml:space="preserve">PLC-MAIN</t>
  </si>
  <si>
    <t xml:space="preserve">BMEXBP0800</t>
  </si>
  <si>
    <t xml:space="preserve">PLC 8-slot Ethernet backplane</t>
  </si>
  <si>
    <t xml:space="preserve">BMXCPS3020</t>
  </si>
  <si>
    <t xml:space="preserve">X80 DC power supply 24–48 V DC, 32 W, isolated</t>
  </si>
  <si>
    <t xml:space="preserve">BMEP582040</t>
  </si>
  <si>
    <t xml:space="preserve">M580 CPU level 2, remote and distributed I/O – plant controller (PPC)</t>
  </si>
  <si>
    <t xml:space="preserve">Second offer CPU is the spare (location S).</t>
  </si>
  <si>
    <t xml:space="preserve">BMENOC0311</t>
  </si>
  <si>
    <t xml:space="preserve">M580 I/O scanner module, FactoryCast, EtherNet/IP &amp; Modbus TCP, 3 ports</t>
  </si>
  <si>
    <t xml:space="preserve">#1 SCADA LAN, #2 second SCADA LAN path. Offer has 1 in use (+1).</t>
  </si>
  <si>
    <t xml:space="preserve">BMENOC0321</t>
  </si>
  <si>
    <t xml:space="preserve">M580 I/O scanner module, IP forwarding, coated – device network</t>
  </si>
  <si>
    <t xml:space="preserve">BMXDDI3202K</t>
  </si>
  <si>
    <t xml:space="preserve">X80 digital input module 32 ch 24 V DC sink</t>
  </si>
  <si>
    <t xml:space="preserve">BMXDDO3202K</t>
  </si>
  <si>
    <t xml:space="preserve">X80 digital output module 32 ch 24 V DC source</t>
  </si>
  <si>
    <t xml:space="preserve">BMXFCW303</t>
  </si>
  <si>
    <t xml:space="preserve">3 m pre-equipped cable, 1 connector + free wires (one per 32-ch module)</t>
  </si>
  <si>
    <t xml:space="preserve">ABL8RPS24100</t>
  </si>
  <si>
    <t xml:space="preserve">Phaseo power supply 24 V DC 10 A</t>
  </si>
  <si>
    <t xml:space="preserve">Panel design</t>
  </si>
  <si>
    <t xml:space="preserve">Redundant 24 V DC for PLC and I/O.</t>
  </si>
  <si>
    <t xml:space="preserve">ABL8RED24400</t>
  </si>
  <si>
    <t xml:space="preserve">Phaseo redundancy module 24 V DC 40 A</t>
  </si>
  <si>
    <t xml:space="preserve">RSB1A120BD</t>
  </si>
  <si>
    <t xml:space="preserve">Zelio RSB interposing relay 1 C/O 12 A, 24 V DC coil</t>
  </si>
  <si>
    <t xml:space="preserve">DO isolation to field circuits.</t>
  </si>
  <si>
    <t xml:space="preserve">RSZE1S35M</t>
  </si>
  <si>
    <t xml:space="preserve">Socket for RSB1A relay, with clip</t>
  </si>
  <si>
    <t xml:space="preserve">NSYTRV42</t>
  </si>
  <si>
    <t xml:space="preserve">Linergy TR screw terminal block 4 mm², feed-through</t>
  </si>
  <si>
    <t xml:space="preserve">Estimate; confirm from wiring diagrams.</t>
  </si>
  <si>
    <t xml:space="preserve">TBC-ENC-PLC</t>
  </si>
  <si>
    <t xml:space="preserve">Floor-standing enclosure 2000 × 800 × 600 IP55, fan, light, socket, earthing</t>
  </si>
  <si>
    <t xml:space="preserve">Spacial SM or equivalent.</t>
  </si>
  <si>
    <t xml:space="preserve">Subtotal B – Main PLC panel – Drop 0 (control room)</t>
  </si>
  <si>
    <t xml:space="preserve">C</t>
  </si>
  <si>
    <t xml:space="preserve">Rack 2 panel – Drop 1, MV / BESS / DG I/O and device network (11 kV GIS room)</t>
  </si>
  <si>
    <t xml:space="preserve">PLC-R2</t>
  </si>
  <si>
    <t xml:space="preserve">BMEXBP1200</t>
  </si>
  <si>
    <t xml:space="preserve">PLC 12-slot Ethernet backplane</t>
  </si>
  <si>
    <t xml:space="preserve">BMECRA31210</t>
  </si>
  <si>
    <t xml:space="preserve">X80 performance Ethernet drop adapter</t>
  </si>
  <si>
    <t xml:space="preserve">I/O list</t>
  </si>
  <si>
    <t xml:space="preserve">Offer 3; +2 for 138 hard-wired DI + 20 % spare (see IO Capacity).</t>
  </si>
  <si>
    <t xml:space="preserve">One per module (5 DI + 2 DO).</t>
  </si>
  <si>
    <t xml:space="preserve">BMXNOM0200</t>
  </si>
  <si>
    <t xml:space="preserve">X80 serial link module, Modbus RTU, 2 × RS485 – DG controllers</t>
  </si>
  <si>
    <t xml:space="preserve">VW3A8306R10</t>
  </si>
  <si>
    <t xml:space="preserve">RS485 cordset 1 m, 2 × RJ45</t>
  </si>
  <si>
    <t xml:space="preserve">SW2</t>
  </si>
  <si>
    <t xml:space="preserve">TBC-MCSESM-FO</t>
  </si>
  <si>
    <t xml:space="preserve">Modicon managed switch 8TX + 2 FX single-mode – device network (SW2)</t>
  </si>
  <si>
    <t xml:space="preserve">Replaces offer MCSESM083F23F1 (copper only) so SW2 can close the fibre ring.</t>
  </si>
  <si>
    <t xml:space="preserve">Zelio RSB interposing relay 1 C/O 12 A, 24 V DC coil – VCB / ACB / DG commands</t>
  </si>
  <si>
    <t xml:space="preserve">26 DO in I/O list + spare.</t>
  </si>
  <si>
    <t xml:space="preserve">Estimate; 164 DI/DO + commons + supplies.</t>
  </si>
  <si>
    <t xml:space="preserve">Subtotal C – Rack 2 panel – Drop 1, MV / BESS / DG I/O and device network (11 kV GIS room)</t>
  </si>
  <si>
    <t xml:space="preserve">D</t>
  </si>
  <si>
    <t xml:space="preserve">11 kV GIS combiner panel – protection relays</t>
  </si>
  <si>
    <t xml:space="preserve">P5M30-AH1…AH8</t>
  </si>
  <si>
    <t xml:space="preserve">REL50458</t>
  </si>
  <si>
    <t xml:space="preserve">Easergy P5M30 48–250 V, 3 CT, 1 CSH, 4 VT, 16 DI / 12 DO, RSTP, Ethernet RJ45</t>
  </si>
  <si>
    <t xml:space="preserve">Offer (PDF)</t>
  </si>
  <si>
    <t xml:space="preserve">Price not in offer workbook. Confirm GIS panel vendor does not already supply relays.</t>
  </si>
  <si>
    <t xml:space="preserve">Subtotal D – 11 kV GIS combiner panel – protection relays</t>
  </si>
  <si>
    <t xml:space="preserve">E1</t>
  </si>
  <si>
    <t xml:space="preserve">President office TX station – LVDB 1 (NTS-LVP1/LVP2)</t>
  </si>
  <si>
    <t xml:space="preserve">NTS-LVP1/2</t>
  </si>
  <si>
    <t xml:space="preserve">NTSNEC1200K</t>
  </si>
  <si>
    <t xml:space="preserve">Edge I/O NTS network interface module + base + termination, EtherNet/IP</t>
  </si>
  <si>
    <t xml:space="preserve">NTSPFB1002HK</t>
  </si>
  <si>
    <t xml:space="preserve">Edge I/O NTS power supply module + base, 24 V DC, bus and field</t>
  </si>
  <si>
    <t xml:space="preserve">NTSXTB02030H</t>
  </si>
  <si>
    <t xml:space="preserve">Screw terminal block 2 pt, 5 mm, for power supply module</t>
  </si>
  <si>
    <t xml:space="preserve">2 per power supply module.</t>
  </si>
  <si>
    <t xml:space="preserve">NTSDDI1602XK</t>
  </si>
  <si>
    <t xml:space="preserve">Edge I/O NTS discrete input 16 ch 24 V DC sink + base</t>
  </si>
  <si>
    <t xml:space="preserve">29 DI required.</t>
  </si>
  <si>
    <t xml:space="preserve">NTSXTB18001XH</t>
  </si>
  <si>
    <t xml:space="preserve">Screw terminal block 18 pt, 5 mm, high-height (DI)</t>
  </si>
  <si>
    <t xml:space="preserve">One per DI module (offer had 3).</t>
  </si>
  <si>
    <t xml:space="preserve">NTSDDO1602K</t>
  </si>
  <si>
    <t xml:space="preserve">Edge I/O NTS discrete output 16 ch 24 V DC 0.5 A + base</t>
  </si>
  <si>
    <t xml:space="preserve">11 DO required (incomer + 10 shunt trips).</t>
  </si>
  <si>
    <t xml:space="preserve">NTSXTB18001H</t>
  </si>
  <si>
    <t xml:space="preserve">Screw terminal block 18 pt, 3.81 mm, low-height (DO)</t>
  </si>
  <si>
    <t xml:space="preserve">One per DO module (offer had 1).</t>
  </si>
  <si>
    <t xml:space="preserve">NTS-LVP1</t>
  </si>
  <si>
    <t xml:space="preserve">NTSFMB0120K</t>
  </si>
  <si>
    <t xml:space="preserve">Edge I/O NTS field device master, RS485 / RS232 Modbus RTU</t>
  </si>
  <si>
    <t xml:space="preserve">Spare serial port for future meters.</t>
  </si>
  <si>
    <t xml:space="preserve">NTSXTB12001H</t>
  </si>
  <si>
    <t xml:space="preserve">Screw terminal block 12 pt, 5 mm (serial module)</t>
  </si>
  <si>
    <t xml:space="preserve">PAS600-LVP1/2</t>
  </si>
  <si>
    <t xml:space="preserve">PAS600</t>
  </si>
  <si>
    <t xml:space="preserve">EcoStruxure Universal Panel Server 110–277 V AC/DC</t>
  </si>
  <si>
    <t xml:space="preserve">130729</t>
  </si>
  <si>
    <t xml:space="preserve">Asset Link humidity sensor CL110</t>
  </si>
  <si>
    <t xml:space="preserve">EMS59440</t>
  </si>
  <si>
    <t xml:space="preserve">Asset Link temperature sensor TH110</t>
  </si>
  <si>
    <t xml:space="preserve">PM5320-LVP</t>
  </si>
  <si>
    <t xml:space="preserve">METSEPM5320</t>
  </si>
  <si>
    <t xml:space="preserve">PM5320 power meter, Ethernet, harmonics to 31st, 2 DI / 2 DO</t>
  </si>
  <si>
    <t xml:space="preserve">Price not in offer workbook.</t>
  </si>
  <si>
    <t xml:space="preserve">LS-LVP</t>
  </si>
  <si>
    <t xml:space="preserve">Modicon managed switch 8TX + 2 FX single-mode – field switch</t>
  </si>
  <si>
    <t xml:space="preserve">NTS-LVP</t>
  </si>
  <si>
    <t xml:space="preserve">TBC-ENC-RIO</t>
  </si>
  <si>
    <t xml:space="preserve">Wall-mounted enclosure 800 × 600 × 300 IP55 for Edge I/O, switch and PSU</t>
  </si>
  <si>
    <t xml:space="preserve">ABL8RPS24050</t>
  </si>
  <si>
    <t xml:space="preserve">Phaseo power supply 24 V DC 5 A</t>
  </si>
  <si>
    <t xml:space="preserve">Feed from RMU UPS 2 kVA.</t>
  </si>
  <si>
    <t xml:space="preserve">Zelio RSB interposing relay 1 C/O 12 A, 24 V DC coil – shunt trips</t>
  </si>
  <si>
    <t xml:space="preserve">Subtotal E1 – President office TX station – LVDB 1 (NTS-LVP1/LVP2)</t>
  </si>
  <si>
    <t xml:space="preserve">E2</t>
  </si>
  <si>
    <t xml:space="preserve">Prime Minister office TX station – LVDB 2 (NTS-LVM1)</t>
  </si>
  <si>
    <t xml:space="preserve">NTS-LVM1</t>
  </si>
  <si>
    <t xml:space="preserve">11 DO required.</t>
  </si>
  <si>
    <t xml:space="preserve">PAS600-LVM1</t>
  </si>
  <si>
    <t xml:space="preserve">PM5320-LVM</t>
  </si>
  <si>
    <t xml:space="preserve">LS-LVM</t>
  </si>
  <si>
    <t xml:space="preserve">NTS-LVM</t>
  </si>
  <si>
    <t xml:space="preserve">Subtotal E2 – Prime Minister office TX station – LVDB 2 (NTS-LVM1)</t>
  </si>
  <si>
    <t xml:space="preserve">F</t>
  </si>
  <si>
    <t xml:space="preserve">PV inverter station – PV areas 1–4 (NTS-PV1…PV4)</t>
  </si>
  <si>
    <t xml:space="preserve">NTS-PV1…4</t>
  </si>
  <si>
    <t xml:space="preserve">One island per PV area.</t>
  </si>
  <si>
    <t xml:space="preserve">Offer 3 per area; 4 DI needed per area – see Changes, option O1.</t>
  </si>
  <si>
    <t xml:space="preserve">No hard-wired DO needed in PV areas – see option O1.</t>
  </si>
  <si>
    <t xml:space="preserve">Edge I/O NTS field device master, RS485 Modbus RTU – one SG350HX each</t>
  </si>
  <si>
    <t xml:space="preserve">Point-to-point to each inverter (sheet 002, note 4).</t>
  </si>
  <si>
    <t xml:space="preserve">PAS600-PV1…4</t>
  </si>
  <si>
    <t xml:space="preserve">PM5320-PV</t>
  </si>
  <si>
    <t xml:space="preserve">0.8 kV PV LV busbar; confirm CT/VT suitability at 800 V.</t>
  </si>
  <si>
    <t xml:space="preserve">LS-PV</t>
  </si>
  <si>
    <t xml:space="preserve">NTS-PV</t>
  </si>
  <si>
    <t xml:space="preserve">Two enclosures for 4 islands; confirm against inverter layout.</t>
  </si>
  <si>
    <t xml:space="preserve">Subtotal F – PV inverter station – PV areas 1–4 (NTS-PV1…PV4)</t>
  </si>
  <si>
    <t xml:space="preserve">G</t>
  </si>
  <si>
    <t xml:space="preserve">BESS container interface</t>
  </si>
  <si>
    <t xml:space="preserve">PM5320-BESS</t>
  </si>
  <si>
    <t xml:space="preserve">0.69 kV BESS LV busbar.</t>
  </si>
  <si>
    <t xml:space="preserve">LS-BESS</t>
  </si>
  <si>
    <t xml:space="preserve">Mount in vendor-provided space in container.</t>
  </si>
  <si>
    <t xml:space="preserve">Subtotal G – BESS container interface</t>
  </si>
  <si>
    <t xml:space="preserve">H</t>
  </si>
  <si>
    <t xml:space="preserve">Diesel generator area</t>
  </si>
  <si>
    <t xml:space="preserve">PM5320-DG</t>
  </si>
  <si>
    <t xml:space="preserve">DG 0.4 kV common bus.</t>
  </si>
  <si>
    <t xml:space="preserve">LS-DG</t>
  </si>
  <si>
    <t xml:space="preserve">Subtotal H – Diesel generator area</t>
  </si>
  <si>
    <t xml:space="preserve">J</t>
  </si>
  <si>
    <t xml:space="preserve">Communication cabling and infrastructure</t>
  </si>
  <si>
    <t xml:space="preserve">FO ring</t>
  </si>
  <si>
    <t xml:space="preserve">TBC-FO-OS2-4C</t>
  </si>
  <si>
    <t xml:space="preserve">Fibre optic cable single-mode OS2, 4 core, armoured, outdoor</t>
  </si>
  <si>
    <t xml:space="preserve">m</t>
  </si>
  <si>
    <t xml:space="preserve">Estimate – take lengths from LV cable route drawings.</t>
  </si>
  <si>
    <t xml:space="preserve">TBC-FO-PP</t>
  </si>
  <si>
    <t xml:space="preserve">Fibre patch panel / splice box, 6 × LC duplex, with pigtails</t>
  </si>
  <si>
    <t xml:space="preserve">Control room + 5 field switches.</t>
  </si>
  <si>
    <t xml:space="preserve">TBC-FO-PC</t>
  </si>
  <si>
    <t xml:space="preserve">Fibre patch cord LC–LC duplex single-mode 2 m</t>
  </si>
  <si>
    <t xml:space="preserve">Ethernet</t>
  </si>
  <si>
    <t xml:space="preserve">TBC-CAT6</t>
  </si>
  <si>
    <t xml:space="preserve">Cat6 S/FTP industrial Ethernet cable</t>
  </si>
  <si>
    <t xml:space="preserve">Estimate.</t>
  </si>
  <si>
    <t xml:space="preserve">TBC-RJ45</t>
  </si>
  <si>
    <t xml:space="preserve">RJ45 shielded field-installable connector, Cat6</t>
  </si>
  <si>
    <t xml:space="preserve">RS485</t>
  </si>
  <si>
    <t xml:space="preserve">TBC-RS485</t>
  </si>
  <si>
    <t xml:space="preserve">RS485 cable 2-pair shielded twisted pair 120 Ω (Belden 3106A or equal)</t>
  </si>
  <si>
    <t xml:space="preserve">4 inverters + DG controllers; estimate.</t>
  </si>
  <si>
    <t xml:space="preserve">Hard-wired I/O</t>
  </si>
  <si>
    <t xml:space="preserve">TBC-MULTICORE</t>
  </si>
  <si>
    <t xml:space="preserve">Screened multicore 1.0 mm² control cable for DI / DO</t>
  </si>
  <si>
    <t xml:space="preserve">Often by electrical contractor – confirm.</t>
  </si>
  <si>
    <t xml:space="preserve">Subtotal J – Communication cabling and infrastructure</t>
  </si>
  <si>
    <t xml:space="preserve">K</t>
  </si>
  <si>
    <t xml:space="preserve">Third-party interfaces (by others – listed for completeness)</t>
  </si>
  <si>
    <t xml:space="preserve">INV NB01…04</t>
  </si>
  <si>
    <t xml:space="preserve">SG350HX-RS485</t>
  </si>
  <si>
    <t xml:space="preserve">Sungrow SG350HX RS485 Modbus RTU port and register map</t>
  </si>
  <si>
    <t xml:space="preserve">Sheet 003</t>
  </si>
  <si>
    <t xml:space="preserve">PV EPC scope.</t>
  </si>
  <si>
    <t xml:space="preserve">BESS-EMS</t>
  </si>
  <si>
    <t xml:space="preserve">BESS-EMS-MBTCP</t>
  </si>
  <si>
    <t xml:space="preserve">BESS EMS Modbus TCP server, register map and heartbeat</t>
  </si>
  <si>
    <t xml:space="preserve">Sheet 004</t>
  </si>
  <si>
    <t xml:space="preserve">BESS vendor scope.</t>
  </si>
  <si>
    <t xml:space="preserve">DGC-1/2</t>
  </si>
  <si>
    <t xml:space="preserve">DGC-MBRTU</t>
  </si>
  <si>
    <t xml:space="preserve">Genset controller Modbus RTU communication module</t>
  </si>
  <si>
    <t xml:space="preserve">DG vendor scope; controller make TBC.</t>
  </si>
  <si>
    <t xml:space="preserve">WS-01</t>
  </si>
  <si>
    <t xml:space="preserve">BLUELOG-XM5000</t>
  </si>
  <si>
    <t xml:space="preserve">Meteocontrol blue'Log XM 5000 weather station with sensors</t>
  </si>
  <si>
    <t xml:space="preserve">PV EPC scope (drawing Weather Station Mast).</t>
  </si>
  <si>
    <t xml:space="preserve">UPS-02/03</t>
  </si>
  <si>
    <t xml:space="preserve">RMU-UPS-CARD</t>
  </si>
  <si>
    <t xml:space="preserve">Communication card for RMU 2 kVA UPS (Modbus TCP / SNMP)</t>
  </si>
  <si>
    <t xml:space="preserve">RMU vendor scope; confirm availability.</t>
  </si>
  <si>
    <t xml:space="preserve">FACP-GW</t>
  </si>
  <si>
    <t xml:space="preserve">TBC-FACP-GW</t>
  </si>
  <si>
    <t xml:space="preserve">Fire alarm panel Modbus gateway / volt-free output card</t>
  </si>
  <si>
    <t xml:space="preserve">Fire contractor to confirm; priced as SCADA item until agreed.</t>
  </si>
  <si>
    <t xml:space="preserve">Subtotal K – Third-party interfaces (by others – listed for completeness)</t>
  </si>
  <si>
    <t xml:space="preserve">L</t>
  </si>
  <si>
    <t xml:space="preserve">Engineering and services</t>
  </si>
  <si>
    <t xml:space="preserve">—</t>
  </si>
  <si>
    <t xml:space="preserve">SVC-DESIGN-COMM</t>
  </si>
  <si>
    <t xml:space="preserve">System design and commissioning (lot, per offer)</t>
  </si>
  <si>
    <t xml:space="preserve">Confirm it includes FAT, SAT, training and as-built documents.</t>
  </si>
  <si>
    <t xml:space="preserve">TBC-SVC-FO</t>
  </si>
  <si>
    <t xml:space="preserve">Fibre installation, splicing and OTDR testing</t>
  </si>
  <si>
    <t xml:space="preserve">Subtotal L – Engineering and services</t>
  </si>
  <si>
    <t xml:space="preserve">S</t>
  </si>
  <si>
    <t xml:space="preserve">Commissioning and operational spares</t>
  </si>
  <si>
    <t xml:space="preserve">Spare</t>
  </si>
  <si>
    <t xml:space="preserve">X80 DC power supply 24–48 V DC</t>
  </si>
  <si>
    <t xml:space="preserve">M580 CPU level 2</t>
  </si>
  <si>
    <t xml:space="preserve">Cold spare. Not a hot-standby pair.</t>
  </si>
  <si>
    <t xml:space="preserve">M580 I/O scanner module, 3 ports</t>
  </si>
  <si>
    <t xml:space="preserve">X80 digital input module 32 ch</t>
  </si>
  <si>
    <t xml:space="preserve">X80 digital output module 32 ch</t>
  </si>
  <si>
    <t xml:space="preserve">Edge I/O NTS network interface module</t>
  </si>
  <si>
    <t xml:space="preserve">Edge I/O NTS power supply module</t>
  </si>
  <si>
    <t xml:space="preserve">Edge I/O NTS discrete input 16 ch</t>
  </si>
  <si>
    <t xml:space="preserve">Edge I/O NTS discrete output 16 ch</t>
  </si>
  <si>
    <t xml:space="preserve">EcoStruxure Universal Panel Server</t>
  </si>
  <si>
    <t xml:space="preserve">Managed switch 8TX + 2 FX single-mode</t>
  </si>
  <si>
    <t xml:space="preserve">Covers SW2 and 5 field switches.</t>
  </si>
  <si>
    <t xml:space="preserve">Zelio RSB interposing relay</t>
  </si>
  <si>
    <t xml:space="preserve">Subtotal S – Commissioning and operational spares</t>
  </si>
  <si>
    <t xml:space="preserve">TOTAL – priced lines only</t>
  </si>
  <si>
    <t xml:space="preserve">Lines awaiting price (RFQ)</t>
  </si>
  <si>
    <t xml:space="preserve">Offer total for comparison (Schneider workbook, incl. services)</t>
  </si>
  <si>
    <t xml:space="preserve">Bill of Material by Reference (quantities summed from 'BOM by Location')</t>
  </si>
  <si>
    <t xml:space="preserve">Total qty</t>
  </si>
  <si>
    <t xml:space="preserve">Offer qty</t>
  </si>
  <si>
    <t xml:space="preserve">Change</t>
  </si>
  <si>
    <t xml:space="preserve">TOTAL – priced lines</t>
  </si>
  <si>
    <t xml:space="preserve">Check: equals 'BOM by Location' total</t>
  </si>
  <si>
    <t xml:space="preserve">Cost summary by location</t>
  </si>
  <si>
    <t xml:space="preserve">Priced subtotal</t>
  </si>
  <si>
    <t xml:space="preserve">Lines RFQ</t>
  </si>
  <si>
    <t xml:space="preserve">Share of priced total</t>
  </si>
  <si>
    <t xml:space="preserve">Total</t>
  </si>
  <si>
    <t xml:space="preserve">Changes against the Schneider Electric offer (Villa Somalia, version 1)</t>
  </si>
  <si>
    <t xml:space="preserve">Project qty</t>
  </si>
  <si>
    <t xml:space="preserve">Delta</t>
  </si>
  <si>
    <t xml:space="preserve">Reason</t>
  </si>
  <si>
    <t xml:space="preserve">Quantity</t>
  </si>
  <si>
    <t xml:space="preserve">Second NOC0311 for the second SCADA LAN path (sheet 001).</t>
  </si>
  <si>
    <t xml:space="preserve">138 hard-wired DI on the X80 racks + 20 % spare needs 6 modules; offer had 4 in use.</t>
  </si>
  <si>
    <t xml:space="preserve">One cable per 32-channel module (9 modules).</t>
  </si>
  <si>
    <t xml:space="preserve">Replaced</t>
  </si>
  <si>
    <t xml:space="preserve">SW2 must close the fibre ring; copper-only switch replaced by an FX variant.</t>
  </si>
  <si>
    <t xml:space="preserve">7 islands as drawn (President station has 2) + 1 spare.</t>
  </si>
  <si>
    <t xml:space="preserve">One per island (7) + 1 spare.</t>
  </si>
  <si>
    <t xml:space="preserve">Two terminal blocks per power supply module (7 modules).</t>
  </si>
  <si>
    <t xml:space="preserve">Location quantities add to 19 installed; spare was not on top.</t>
  </si>
  <si>
    <t xml:space="preserve">One terminal block per DI module (offer short by 1 at LVDB 1).</t>
  </si>
  <si>
    <t xml:space="preserve">7 installed + 1 spare.</t>
  </si>
  <si>
    <t xml:space="preserve">One terminal block per DO module (offer short by 1 at LVDB 1).</t>
  </si>
  <si>
    <t xml:space="preserve">7 installed + 1 spare (offer spare not on top).</t>
  </si>
  <si>
    <t xml:space="preserve">9 installed + 1 spare.</t>
  </si>
  <si>
    <t xml:space="preserve">Three-phase string inverter (Schneider)</t>
  </si>
  <si>
    <t xml:space="preserve">Removed</t>
  </si>
  <si>
    <t xml:space="preserve">Plant uses 4 × Sungrow SG350HX supplied by the PV EPC; Schneider string inverter not required.</t>
  </si>
  <si>
    <t xml:space="preserve">Required by drawings 001/002 or panel design; not in offer.</t>
  </si>
  <si>
    <t xml:space="preserve">Options not applied (decision needed)</t>
  </si>
  <si>
    <t xml:space="preserve">O1</t>
  </si>
  <si>
    <t xml:space="preserve">PV areas: 4 hard-wired DI per area need 1 × NTSDDI1602XK and no DO module. Reducing from 3 DI + 1 DO per area to 1 DI saves 8 × NTSDDI1602XK, 8 × NTSXTB18001XH, 4 × NTSDDO1602K and 4 × NTSXTB18001H. Not applied because drawing 003 and the offer show 3 DI + 1 DO; keep if combiner-box signals are expected.</t>
  </si>
  <si>
    <t xml:space="preserve">O2</t>
  </si>
  <si>
    <t xml:space="preserve">Hot-standby controller: replace BMEP582040 + spare by an M580 hot-standby pair (BMEH58xxxx + sync link) if the client requires controller redundancy.</t>
  </si>
  <si>
    <t xml:space="preserve">O3</t>
  </si>
  <si>
    <t xml:space="preserve">Relays P5M30 and PM5320 meters: remove from this BOM if the GIS panel / LV board vendors already supply them.</t>
  </si>
  <si>
    <t xml:space="preserve">Hard-wired I/O capacity check</t>
  </si>
  <si>
    <t xml:space="preserve">Spare required</t>
  </si>
  <si>
    <t xml:space="preserve">Input. Required DI/DO counts come from docs/villa-somalia-io-list.csv (types DI and DO).</t>
  </si>
  <si>
    <t xml:space="preserve">Area</t>
  </si>
  <si>
    <t xml:space="preserve">Locations</t>
  </si>
  <si>
    <t xml:space="preserve">Type</t>
  </si>
  <si>
    <t xml:space="preserve">Required (I/O list)</t>
  </si>
  <si>
    <t xml:space="preserve">Required incl. spare</t>
  </si>
  <si>
    <t xml:space="preserve">Module</t>
  </si>
  <si>
    <t xml:space="preserve">Channels / module</t>
  </si>
  <si>
    <t xml:space="preserve">Modules installed</t>
  </si>
  <si>
    <t xml:space="preserve">Channels installed</t>
  </si>
  <si>
    <t xml:space="preserve">Free channels</t>
  </si>
  <si>
    <t xml:space="preserve">Free %</t>
  </si>
  <si>
    <t xml:space="preserve">Check</t>
  </si>
  <si>
    <t xml:space="preserve">X80 racks (main + Rack 2)</t>
  </si>
  <si>
    <t xml:space="preserve">B, C</t>
  </si>
  <si>
    <t xml:space="preserve">DI</t>
  </si>
  <si>
    <t xml:space="preserve">DO</t>
  </si>
  <si>
    <t xml:space="preserve">President TX station</t>
  </si>
  <si>
    <t xml:space="preserve">Prime Minister TX station</t>
  </si>
  <si>
    <t xml:space="preserve">PV areas 1–4 (total)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</si>
</sst>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\+0;\-0;0"/>
    <numFmt numFmtId="167" formatCode="0.0%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44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442"/>
        <bgColor rgb="FF003366"/>
      </patternFill>
    </fill>
    <fill>
      <patternFill patternType="solid">
        <fgColor rgb="FFDCE3E8"/>
        <bgColor rgb="FFF3F5F6"/>
      </patternFill>
    </fill>
    <fill>
      <patternFill patternType="solid">
        <fgColor rgb="FFF3F5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1C8"/>
      </left>
      <right style="thin">
        <color rgb="FFB9C1C8"/>
      </right>
      <top style="thin">
        <color rgb="FFB9C1C8"/>
      </top>
      <bottom style="thin">
        <color rgb="FFB9C1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442"/>
          <bgColor rgb="FF000000"/>
        </patternFill>
      </fill>
    </dxf>
    <dxf>
      <fill>
        <patternFill patternType="solid">
          <fgColor rgb="FFDCE3E8"/>
          <bgColor rgb="FF000000"/>
        </patternFill>
      </fill>
    </dxf>
    <dxf>
      <fill>
        <patternFill patternType="solid">
          <fgColor rgb="FFF3F5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1C8"/>
      <rgbColor rgb="FF808080"/>
      <rgbColor rgb="FF9999FF"/>
      <rgbColor rgb="FF993366"/>
      <rgbColor rgb="FFF3F5F6"/>
      <rgbColor rgb="FFCCFFFF"/>
      <rgbColor rgb="FF660066"/>
      <rgbColor rgb="FFFF8080"/>
      <rgbColor rgb="FF0066CC"/>
      <rgbColor rgb="FFDC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4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6" customFormat="false" ht="23.8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 t="s">
        <v>22</v>
      </c>
      <c r="B14" s="3" t="s">
        <v>23</v>
      </c>
    </row>
    <row r="15" customFormat="false" ht="15" hidden="false" customHeight="false" outlineLevel="0" collapsed="false">
      <c r="A15" s="2"/>
      <c r="B15" s="3"/>
    </row>
    <row r="16" customFormat="false" ht="15" hidden="false" customHeight="false" outlineLevel="0" collapsed="false">
      <c r="A16" s="2" t="s">
        <v>24</v>
      </c>
    </row>
    <row r="17" customFormat="false" ht="15" hidden="false" customHeight="false" outlineLevel="0" collapsed="false">
      <c r="A17" s="4" t="s">
        <v>25</v>
      </c>
      <c r="B17" s="3" t="s">
        <v>26</v>
      </c>
    </row>
    <row r="18" customFormat="false" ht="15" hidden="false" customHeight="false" outlineLevel="0" collapsed="false">
      <c r="A18" s="5" t="s">
        <v>27</v>
      </c>
      <c r="B18" s="3" t="s">
        <v>28</v>
      </c>
    </row>
    <row r="19" customFormat="false" ht="15" hidden="false" customHeight="false" outlineLevel="0" collapsed="false">
      <c r="A19" s="6" t="s">
        <v>29</v>
      </c>
      <c r="B19" s="3" t="s">
        <v>30</v>
      </c>
    </row>
    <row r="20" customFormat="false" ht="15" hidden="false" customHeight="false" outlineLevel="0" collapsed="false">
      <c r="A20" s="2"/>
      <c r="B20" s="3"/>
    </row>
    <row r="21" customFormat="false" ht="15" hidden="false" customHeight="false" outlineLevel="0" collapsed="false">
      <c r="A21" s="2" t="s">
        <v>31</v>
      </c>
    </row>
    <row r="22" customFormat="false" ht="15" hidden="false" customHeight="false" outlineLevel="0" collapsed="false">
      <c r="A22" s="2" t="s">
        <v>32</v>
      </c>
      <c r="B22" s="3" t="s">
        <v>33</v>
      </c>
    </row>
    <row r="23" customFormat="false" ht="15" hidden="false" customHeight="false" outlineLevel="0" collapsed="false">
      <c r="A23" s="2" t="s">
        <v>34</v>
      </c>
      <c r="B23" s="3" t="s">
        <v>35</v>
      </c>
    </row>
    <row r="24" customFormat="false" ht="15" hidden="false" customHeight="false" outlineLevel="0" collapsed="false">
      <c r="A24" s="2" t="s">
        <v>36</v>
      </c>
      <c r="B24" s="3" t="s">
        <v>37</v>
      </c>
    </row>
    <row r="25" customFormat="false" ht="15" hidden="false" customHeight="false" outlineLevel="0" collapsed="false">
      <c r="A25" s="2" t="s">
        <v>38</v>
      </c>
      <c r="B25" s="3" t="s">
        <v>39</v>
      </c>
    </row>
    <row r="26" customFormat="false" ht="15" hidden="false" customHeight="false" outlineLevel="0" collapsed="false">
      <c r="A26" s="2"/>
      <c r="B26" s="3"/>
    </row>
    <row r="27" customFormat="false" ht="15" hidden="false" customHeight="false" outlineLevel="0" collapsed="false">
      <c r="A27" s="2" t="s">
        <v>40</v>
      </c>
    </row>
    <row r="28" customFormat="false" ht="15" hidden="false" customHeight="false" outlineLevel="0" collapsed="false">
      <c r="A28" s="2" t="s">
        <v>41</v>
      </c>
      <c r="B28" s="3" t="s">
        <v>42</v>
      </c>
    </row>
    <row r="29" customFormat="false" ht="23.85" hidden="false" customHeight="false" outlineLevel="0" collapsed="false">
      <c r="A29" s="2" t="s">
        <v>43</v>
      </c>
      <c r="B29" s="3" t="s">
        <v>44</v>
      </c>
    </row>
    <row r="30" customFormat="false" ht="15" hidden="false" customHeight="false" outlineLevel="0" collapsed="false">
      <c r="A30" s="2" t="s">
        <v>45</v>
      </c>
      <c r="B30" s="3" t="s">
        <v>46</v>
      </c>
    </row>
    <row r="31" customFormat="false" ht="15" hidden="false" customHeight="false" outlineLevel="0" collapsed="false">
      <c r="A31" s="2" t="s">
        <v>47</v>
      </c>
      <c r="B31" s="3" t="s">
        <v>48</v>
      </c>
    </row>
    <row r="32" customFormat="false" ht="15" hidden="false" customHeight="false" outlineLevel="0" collapsed="false">
      <c r="A32" s="2" t="s">
        <v>49</v>
      </c>
      <c r="B32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58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6"/>
    <col collapsed="false" customWidth="true" hidden="false" outlineLevel="0" max="13" min="13" style="0" width="52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7" t="s">
        <v>52</v>
      </c>
    </row>
    <row r="4" customFormat="false" ht="15" hidden="false" customHeight="false" outlineLevel="0" collapsed="false">
      <c r="A4" s="8" t="s">
        <v>53</v>
      </c>
      <c r="B4" s="8" t="s">
        <v>54</v>
      </c>
      <c r="C4" s="8" t="s">
        <v>55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60</v>
      </c>
      <c r="I4" s="8" t="s">
        <v>61</v>
      </c>
      <c r="J4" s="8" t="s">
        <v>62</v>
      </c>
      <c r="K4" s="8" t="s">
        <v>63</v>
      </c>
      <c r="L4" s="8" t="s">
        <v>64</v>
      </c>
      <c r="M4" s="8" t="s">
        <v>65</v>
      </c>
    </row>
    <row r="5" customFormat="false" ht="15" hidden="false" customHeight="false" outlineLevel="0" collapsed="false">
      <c r="A5" s="9"/>
      <c r="B5" s="10" t="s">
        <v>66</v>
      </c>
      <c r="C5" s="10" t="s">
        <v>67</v>
      </c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23.85" hidden="false" customHeight="false" outlineLevel="0" collapsed="false">
      <c r="A6" s="11" t="n">
        <v>10</v>
      </c>
      <c r="B6" s="11" t="s">
        <v>66</v>
      </c>
      <c r="C6" s="11" t="s">
        <v>67</v>
      </c>
      <c r="D6" s="11" t="s">
        <v>68</v>
      </c>
      <c r="E6" s="11" t="s">
        <v>69</v>
      </c>
      <c r="F6" s="11" t="s">
        <v>70</v>
      </c>
      <c r="G6" s="12" t="n">
        <v>2</v>
      </c>
      <c r="H6" s="11" t="s">
        <v>71</v>
      </c>
      <c r="I6" s="13" t="n">
        <v>6750</v>
      </c>
      <c r="J6" s="14" t="n">
        <f aca="false">IF(ISNUMBER(I6),G6*I6,"")</f>
        <v>13500</v>
      </c>
      <c r="K6" s="11" t="s">
        <v>72</v>
      </c>
      <c r="L6" s="11" t="s">
        <v>32</v>
      </c>
      <c r="M6" s="11" t="s">
        <v>73</v>
      </c>
    </row>
    <row r="7" customFormat="false" ht="23.85" hidden="false" customHeight="false" outlineLevel="0" collapsed="false">
      <c r="A7" s="11" t="n">
        <v>20</v>
      </c>
      <c r="B7" s="11" t="s">
        <v>66</v>
      </c>
      <c r="C7" s="11" t="s">
        <v>67</v>
      </c>
      <c r="D7" s="11" t="s">
        <v>68</v>
      </c>
      <c r="E7" s="11" t="s">
        <v>74</v>
      </c>
      <c r="F7" s="11" t="s">
        <v>75</v>
      </c>
      <c r="G7" s="12" t="n">
        <v>2</v>
      </c>
      <c r="H7" s="11" t="s">
        <v>71</v>
      </c>
      <c r="I7" s="13" t="n">
        <v>4699.91395424935</v>
      </c>
      <c r="J7" s="14" t="n">
        <f aca="false">IF(ISNUMBER(I7),G7*I7,"")</f>
        <v>9399.8279084987</v>
      </c>
      <c r="K7" s="11" t="s">
        <v>72</v>
      </c>
      <c r="L7" s="11" t="s">
        <v>32</v>
      </c>
      <c r="M7" s="11" t="s">
        <v>76</v>
      </c>
    </row>
    <row r="8" customFormat="false" ht="23.85" hidden="false" customHeight="false" outlineLevel="0" collapsed="false">
      <c r="A8" s="11" t="n">
        <v>30</v>
      </c>
      <c r="B8" s="11" t="s">
        <v>66</v>
      </c>
      <c r="C8" s="11" t="s">
        <v>67</v>
      </c>
      <c r="D8" s="11" t="s">
        <v>77</v>
      </c>
      <c r="E8" s="11" t="s">
        <v>78</v>
      </c>
      <c r="F8" s="11" t="s">
        <v>79</v>
      </c>
      <c r="G8" s="12" t="n">
        <v>1</v>
      </c>
      <c r="H8" s="11" t="s">
        <v>71</v>
      </c>
      <c r="I8" s="13" t="n">
        <v>2749.03254794152</v>
      </c>
      <c r="J8" s="14" t="n">
        <f aca="false">IF(ISNUMBER(I8),G8*I8,"")</f>
        <v>2749.03254794152</v>
      </c>
      <c r="K8" s="11" t="s">
        <v>72</v>
      </c>
      <c r="L8" s="11" t="s">
        <v>32</v>
      </c>
      <c r="M8" s="11"/>
    </row>
    <row r="9" customFormat="false" ht="23.85" hidden="false" customHeight="false" outlineLevel="0" collapsed="false">
      <c r="A9" s="11" t="n">
        <v>40</v>
      </c>
      <c r="B9" s="11" t="s">
        <v>66</v>
      </c>
      <c r="C9" s="11" t="s">
        <v>67</v>
      </c>
      <c r="D9" s="11" t="s">
        <v>80</v>
      </c>
      <c r="E9" s="11" t="s">
        <v>81</v>
      </c>
      <c r="F9" s="11" t="s">
        <v>82</v>
      </c>
      <c r="G9" s="12" t="n">
        <v>1</v>
      </c>
      <c r="H9" s="11" t="s">
        <v>71</v>
      </c>
      <c r="I9" s="15"/>
      <c r="J9" s="14" t="str">
        <f aca="false">IF(ISNUMBER(I9),G9*I9,"")</f>
        <v/>
      </c>
      <c r="K9" s="11" t="s">
        <v>83</v>
      </c>
      <c r="L9" s="11" t="s">
        <v>36</v>
      </c>
      <c r="M9" s="11" t="s">
        <v>84</v>
      </c>
    </row>
    <row r="10" customFormat="false" ht="23.85" hidden="false" customHeight="false" outlineLevel="0" collapsed="false">
      <c r="A10" s="11" t="n">
        <v>50</v>
      </c>
      <c r="B10" s="11" t="s">
        <v>66</v>
      </c>
      <c r="C10" s="11" t="s">
        <v>67</v>
      </c>
      <c r="D10" s="11" t="s">
        <v>77</v>
      </c>
      <c r="E10" s="11" t="s">
        <v>85</v>
      </c>
      <c r="F10" s="11" t="s">
        <v>86</v>
      </c>
      <c r="G10" s="12" t="n">
        <v>1</v>
      </c>
      <c r="H10" s="11" t="s">
        <v>71</v>
      </c>
      <c r="I10" s="15"/>
      <c r="J10" s="14" t="str">
        <f aca="false">IF(ISNUMBER(I10),G10*I10,"")</f>
        <v/>
      </c>
      <c r="K10" s="11" t="s">
        <v>83</v>
      </c>
      <c r="L10" s="11" t="s">
        <v>36</v>
      </c>
      <c r="M10" s="11" t="s">
        <v>87</v>
      </c>
    </row>
    <row r="11" customFormat="false" ht="23.85" hidden="false" customHeight="false" outlineLevel="0" collapsed="false">
      <c r="A11" s="11" t="n">
        <v>60</v>
      </c>
      <c r="B11" s="11" t="s">
        <v>66</v>
      </c>
      <c r="C11" s="11" t="s">
        <v>67</v>
      </c>
      <c r="D11" s="11" t="s">
        <v>88</v>
      </c>
      <c r="E11" s="11" t="s">
        <v>89</v>
      </c>
      <c r="F11" s="11" t="s">
        <v>90</v>
      </c>
      <c r="G11" s="12" t="n">
        <v>1</v>
      </c>
      <c r="H11" s="11" t="s">
        <v>71</v>
      </c>
      <c r="I11" s="15"/>
      <c r="J11" s="14" t="str">
        <f aca="false">IF(ISNUMBER(I11),G11*I11,"")</f>
        <v/>
      </c>
      <c r="K11" s="11" t="s">
        <v>83</v>
      </c>
      <c r="L11" s="11" t="s">
        <v>36</v>
      </c>
      <c r="M11" s="11" t="s">
        <v>91</v>
      </c>
    </row>
    <row r="12" customFormat="false" ht="23.85" hidden="false" customHeight="false" outlineLevel="0" collapsed="false">
      <c r="A12" s="11" t="n">
        <v>70</v>
      </c>
      <c r="B12" s="11" t="s">
        <v>66</v>
      </c>
      <c r="C12" s="11" t="s">
        <v>67</v>
      </c>
      <c r="D12" s="11" t="s">
        <v>92</v>
      </c>
      <c r="E12" s="11" t="s">
        <v>93</v>
      </c>
      <c r="F12" s="11" t="s">
        <v>94</v>
      </c>
      <c r="G12" s="12" t="n">
        <v>1</v>
      </c>
      <c r="H12" s="11" t="s">
        <v>71</v>
      </c>
      <c r="I12" s="15"/>
      <c r="J12" s="14" t="str">
        <f aca="false">IF(ISNUMBER(I12),G12*I12,"")</f>
        <v/>
      </c>
      <c r="K12" s="11" t="s">
        <v>83</v>
      </c>
      <c r="L12" s="11" t="s">
        <v>36</v>
      </c>
      <c r="M12" s="11" t="s">
        <v>95</v>
      </c>
    </row>
    <row r="13" customFormat="false" ht="23.85" hidden="false" customHeight="false" outlineLevel="0" collapsed="false">
      <c r="A13" s="11" t="n">
        <v>80</v>
      </c>
      <c r="B13" s="11" t="s">
        <v>66</v>
      </c>
      <c r="C13" s="11" t="s">
        <v>67</v>
      </c>
      <c r="D13" s="11" t="s">
        <v>96</v>
      </c>
      <c r="E13" s="11" t="s">
        <v>97</v>
      </c>
      <c r="F13" s="11" t="s">
        <v>98</v>
      </c>
      <c r="G13" s="12" t="n">
        <v>1</v>
      </c>
      <c r="H13" s="11" t="s">
        <v>71</v>
      </c>
      <c r="I13" s="13" t="n">
        <v>1609.695</v>
      </c>
      <c r="J13" s="14" t="n">
        <f aca="false">IF(ISNUMBER(I13),G13*I13,"")</f>
        <v>1609.695</v>
      </c>
      <c r="K13" s="11" t="s">
        <v>72</v>
      </c>
      <c r="L13" s="11" t="s">
        <v>32</v>
      </c>
      <c r="M13" s="11" t="s">
        <v>99</v>
      </c>
    </row>
    <row r="14" customFormat="false" ht="23.85" hidden="false" customHeight="false" outlineLevel="0" collapsed="false">
      <c r="A14" s="11" t="n">
        <v>90</v>
      </c>
      <c r="B14" s="11" t="s">
        <v>66</v>
      </c>
      <c r="C14" s="11" t="s">
        <v>67</v>
      </c>
      <c r="D14" s="11" t="s">
        <v>100</v>
      </c>
      <c r="E14" s="11" t="s">
        <v>101</v>
      </c>
      <c r="F14" s="11" t="s">
        <v>102</v>
      </c>
      <c r="G14" s="12" t="n">
        <v>1</v>
      </c>
      <c r="H14" s="11" t="s">
        <v>71</v>
      </c>
      <c r="I14" s="15"/>
      <c r="J14" s="14" t="str">
        <f aca="false">IF(ISNUMBER(I14),G14*I14,"")</f>
        <v/>
      </c>
      <c r="K14" s="11" t="s">
        <v>83</v>
      </c>
      <c r="L14" s="11" t="s">
        <v>34</v>
      </c>
      <c r="M14" s="11" t="s">
        <v>103</v>
      </c>
    </row>
    <row r="15" customFormat="false" ht="23.85" hidden="false" customHeight="false" outlineLevel="0" collapsed="false">
      <c r="A15" s="11" t="n">
        <v>100</v>
      </c>
      <c r="B15" s="11" t="s">
        <v>66</v>
      </c>
      <c r="C15" s="11" t="s">
        <v>67</v>
      </c>
      <c r="D15" s="11" t="s">
        <v>100</v>
      </c>
      <c r="E15" s="11" t="s">
        <v>104</v>
      </c>
      <c r="F15" s="11" t="s">
        <v>105</v>
      </c>
      <c r="G15" s="12" t="n">
        <v>1</v>
      </c>
      <c r="H15" s="11" t="s">
        <v>71</v>
      </c>
      <c r="I15" s="15"/>
      <c r="J15" s="14" t="str">
        <f aca="false">IF(ISNUMBER(I15),G15*I15,"")</f>
        <v/>
      </c>
      <c r="K15" s="11" t="s">
        <v>106</v>
      </c>
      <c r="L15" s="11" t="s">
        <v>34</v>
      </c>
      <c r="M15" s="11" t="s">
        <v>107</v>
      </c>
    </row>
    <row r="16" customFormat="false" ht="23.85" hidden="false" customHeight="false" outlineLevel="0" collapsed="false">
      <c r="A16" s="11" t="n">
        <v>110</v>
      </c>
      <c r="B16" s="11" t="s">
        <v>66</v>
      </c>
      <c r="C16" s="11" t="s">
        <v>67</v>
      </c>
      <c r="D16" s="11" t="s">
        <v>108</v>
      </c>
      <c r="E16" s="11" t="s">
        <v>109</v>
      </c>
      <c r="F16" s="11" t="s">
        <v>110</v>
      </c>
      <c r="G16" s="12" t="n">
        <v>1</v>
      </c>
      <c r="H16" s="11" t="s">
        <v>71</v>
      </c>
      <c r="I16" s="15"/>
      <c r="J16" s="14" t="str">
        <f aca="false">IF(ISNUMBER(I16),G16*I16,"")</f>
        <v/>
      </c>
      <c r="K16" s="11" t="s">
        <v>83</v>
      </c>
      <c r="L16" s="11" t="s">
        <v>34</v>
      </c>
      <c r="M16" s="11"/>
    </row>
    <row r="17" customFormat="false" ht="23.85" hidden="false" customHeight="false" outlineLevel="0" collapsed="false">
      <c r="A17" s="11" t="n">
        <v>120</v>
      </c>
      <c r="B17" s="11" t="s">
        <v>66</v>
      </c>
      <c r="C17" s="11" t="s">
        <v>67</v>
      </c>
      <c r="D17" s="11" t="s">
        <v>111</v>
      </c>
      <c r="E17" s="11" t="s">
        <v>112</v>
      </c>
      <c r="F17" s="11" t="s">
        <v>113</v>
      </c>
      <c r="G17" s="12" t="n">
        <v>1</v>
      </c>
      <c r="H17" s="11" t="s">
        <v>114</v>
      </c>
      <c r="I17" s="15"/>
      <c r="J17" s="14" t="str">
        <f aca="false">IF(ISNUMBER(I17),G17*I17,"")</f>
        <v/>
      </c>
      <c r="K17" s="11" t="s">
        <v>83</v>
      </c>
      <c r="L17" s="11" t="s">
        <v>36</v>
      </c>
      <c r="M17" s="11" t="s">
        <v>115</v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7" t="s">
        <v>116</v>
      </c>
      <c r="G18" s="16"/>
      <c r="H18" s="16"/>
      <c r="I18" s="16"/>
      <c r="J18" s="18" t="n">
        <f aca="false">SUBTOTAL(9,J6:J17)</f>
        <v>27258.5554564402</v>
      </c>
      <c r="K18" s="16"/>
      <c r="L18" s="19" t="str">
        <f aca="false">COUNTIFS(B6:B17,"A",I6:I17,"")&amp;" lines RFQ"</f>
        <v>8 lines RFQ</v>
      </c>
      <c r="M18" s="16"/>
    </row>
    <row r="20" customFormat="false" ht="15" hidden="false" customHeight="false" outlineLevel="0" collapsed="false">
      <c r="A20" s="9"/>
      <c r="B20" s="10" t="s">
        <v>117</v>
      </c>
      <c r="C20" s="10" t="s">
        <v>118</v>
      </c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23.85" hidden="false" customHeight="false" outlineLevel="0" collapsed="false">
      <c r="A21" s="11" t="n">
        <v>130</v>
      </c>
      <c r="B21" s="11" t="s">
        <v>117</v>
      </c>
      <c r="C21" s="11" t="s">
        <v>118</v>
      </c>
      <c r="D21" s="11" t="s">
        <v>119</v>
      </c>
      <c r="E21" s="11" t="s">
        <v>120</v>
      </c>
      <c r="F21" s="11" t="s">
        <v>121</v>
      </c>
      <c r="G21" s="12" t="n">
        <v>1</v>
      </c>
      <c r="H21" s="11" t="s">
        <v>71</v>
      </c>
      <c r="I21" s="13" t="n">
        <v>227.682</v>
      </c>
      <c r="J21" s="14" t="n">
        <f aca="false">IF(ISNUMBER(I21),G21*I21,"")</f>
        <v>227.682</v>
      </c>
      <c r="K21" s="11" t="s">
        <v>72</v>
      </c>
      <c r="L21" s="11" t="s">
        <v>32</v>
      </c>
      <c r="M21" s="11"/>
    </row>
    <row r="22" customFormat="false" ht="23.85" hidden="false" customHeight="false" outlineLevel="0" collapsed="false">
      <c r="A22" s="11" t="n">
        <v>140</v>
      </c>
      <c r="B22" s="11" t="s">
        <v>117</v>
      </c>
      <c r="C22" s="11" t="s">
        <v>118</v>
      </c>
      <c r="D22" s="11" t="s">
        <v>119</v>
      </c>
      <c r="E22" s="11" t="s">
        <v>122</v>
      </c>
      <c r="F22" s="11" t="s">
        <v>123</v>
      </c>
      <c r="G22" s="12" t="n">
        <v>1</v>
      </c>
      <c r="H22" s="11" t="s">
        <v>71</v>
      </c>
      <c r="I22" s="13" t="n">
        <v>320.0265</v>
      </c>
      <c r="J22" s="14" t="n">
        <f aca="false">IF(ISNUMBER(I22),G22*I22,"")</f>
        <v>320.0265</v>
      </c>
      <c r="K22" s="11" t="s">
        <v>72</v>
      </c>
      <c r="L22" s="11" t="s">
        <v>32</v>
      </c>
      <c r="M22" s="11"/>
    </row>
    <row r="23" customFormat="false" ht="23.85" hidden="false" customHeight="false" outlineLevel="0" collapsed="false">
      <c r="A23" s="11" t="n">
        <v>150</v>
      </c>
      <c r="B23" s="11" t="s">
        <v>117</v>
      </c>
      <c r="C23" s="11" t="s">
        <v>118</v>
      </c>
      <c r="D23" s="11" t="s">
        <v>119</v>
      </c>
      <c r="E23" s="11" t="s">
        <v>124</v>
      </c>
      <c r="F23" s="11" t="s">
        <v>125</v>
      </c>
      <c r="G23" s="12" t="n">
        <v>1</v>
      </c>
      <c r="H23" s="11" t="s">
        <v>71</v>
      </c>
      <c r="I23" s="13" t="n">
        <v>2337.7635</v>
      </c>
      <c r="J23" s="14" t="n">
        <f aca="false">IF(ISNUMBER(I23),G23*I23,"")</f>
        <v>2337.7635</v>
      </c>
      <c r="K23" s="11" t="s">
        <v>72</v>
      </c>
      <c r="L23" s="11" t="s">
        <v>32</v>
      </c>
      <c r="M23" s="11" t="s">
        <v>126</v>
      </c>
    </row>
    <row r="24" customFormat="false" ht="23.85" hidden="false" customHeight="false" outlineLevel="0" collapsed="false">
      <c r="A24" s="11" t="n">
        <v>160</v>
      </c>
      <c r="B24" s="11" t="s">
        <v>117</v>
      </c>
      <c r="C24" s="11" t="s">
        <v>118</v>
      </c>
      <c r="D24" s="11" t="s">
        <v>119</v>
      </c>
      <c r="E24" s="11" t="s">
        <v>127</v>
      </c>
      <c r="F24" s="11" t="s">
        <v>128</v>
      </c>
      <c r="G24" s="12" t="n">
        <v>2</v>
      </c>
      <c r="H24" s="11" t="s">
        <v>71</v>
      </c>
      <c r="I24" s="13" t="n">
        <v>887.94</v>
      </c>
      <c r="J24" s="14" t="n">
        <f aca="false">IF(ISNUMBER(I24),G24*I24,"")</f>
        <v>1775.88</v>
      </c>
      <c r="K24" s="11" t="s">
        <v>83</v>
      </c>
      <c r="L24" s="11" t="s">
        <v>32</v>
      </c>
      <c r="M24" s="11" t="s">
        <v>129</v>
      </c>
    </row>
    <row r="25" customFormat="false" ht="23.85" hidden="false" customHeight="false" outlineLevel="0" collapsed="false">
      <c r="A25" s="11" t="n">
        <v>170</v>
      </c>
      <c r="B25" s="11" t="s">
        <v>117</v>
      </c>
      <c r="C25" s="11" t="s">
        <v>118</v>
      </c>
      <c r="D25" s="11" t="s">
        <v>119</v>
      </c>
      <c r="E25" s="11" t="s">
        <v>130</v>
      </c>
      <c r="F25" s="11" t="s">
        <v>131</v>
      </c>
      <c r="G25" s="12" t="n">
        <v>1</v>
      </c>
      <c r="H25" s="11" t="s">
        <v>71</v>
      </c>
      <c r="I25" s="13" t="n">
        <v>1014.795</v>
      </c>
      <c r="J25" s="14" t="n">
        <f aca="false">IF(ISNUMBER(I25),G25*I25,"")</f>
        <v>1014.795</v>
      </c>
      <c r="K25" s="11" t="s">
        <v>72</v>
      </c>
      <c r="L25" s="11" t="s">
        <v>32</v>
      </c>
      <c r="M25" s="11"/>
    </row>
    <row r="26" customFormat="false" ht="23.85" hidden="false" customHeight="false" outlineLevel="0" collapsed="false">
      <c r="A26" s="11" t="n">
        <v>180</v>
      </c>
      <c r="B26" s="11" t="s">
        <v>117</v>
      </c>
      <c r="C26" s="11" t="s">
        <v>118</v>
      </c>
      <c r="D26" s="11" t="s">
        <v>119</v>
      </c>
      <c r="E26" s="11" t="s">
        <v>132</v>
      </c>
      <c r="F26" s="11" t="s">
        <v>133</v>
      </c>
      <c r="G26" s="12" t="n">
        <v>1</v>
      </c>
      <c r="H26" s="11" t="s">
        <v>71</v>
      </c>
      <c r="I26" s="13" t="n">
        <v>212.1705</v>
      </c>
      <c r="J26" s="14" t="n">
        <f aca="false">IF(ISNUMBER(I26),G26*I26,"")</f>
        <v>212.1705</v>
      </c>
      <c r="K26" s="11" t="s">
        <v>72</v>
      </c>
      <c r="L26" s="11" t="s">
        <v>32</v>
      </c>
      <c r="M26" s="11"/>
    </row>
    <row r="27" customFormat="false" ht="23.85" hidden="false" customHeight="false" outlineLevel="0" collapsed="false">
      <c r="A27" s="11" t="n">
        <v>190</v>
      </c>
      <c r="B27" s="11" t="s">
        <v>117</v>
      </c>
      <c r="C27" s="11" t="s">
        <v>118</v>
      </c>
      <c r="D27" s="11" t="s">
        <v>119</v>
      </c>
      <c r="E27" s="11" t="s">
        <v>134</v>
      </c>
      <c r="F27" s="11" t="s">
        <v>135</v>
      </c>
      <c r="G27" s="12" t="n">
        <v>1</v>
      </c>
      <c r="H27" s="11" t="s">
        <v>71</v>
      </c>
      <c r="I27" s="13" t="n">
        <v>250.218</v>
      </c>
      <c r="J27" s="14" t="n">
        <f aca="false">IF(ISNUMBER(I27),G27*I27,"")</f>
        <v>250.218</v>
      </c>
      <c r="K27" s="11" t="s">
        <v>72</v>
      </c>
      <c r="L27" s="11" t="s">
        <v>32</v>
      </c>
      <c r="M27" s="11"/>
    </row>
    <row r="28" customFormat="false" ht="23.85" hidden="false" customHeight="false" outlineLevel="0" collapsed="false">
      <c r="A28" s="11" t="n">
        <v>200</v>
      </c>
      <c r="B28" s="11" t="s">
        <v>117</v>
      </c>
      <c r="C28" s="11" t="s">
        <v>118</v>
      </c>
      <c r="D28" s="11" t="s">
        <v>119</v>
      </c>
      <c r="E28" s="11" t="s">
        <v>136</v>
      </c>
      <c r="F28" s="11" t="s">
        <v>137</v>
      </c>
      <c r="G28" s="12" t="n">
        <v>2</v>
      </c>
      <c r="H28" s="11" t="s">
        <v>71</v>
      </c>
      <c r="I28" s="13" t="n">
        <v>51.5835</v>
      </c>
      <c r="J28" s="14" t="n">
        <f aca="false">IF(ISNUMBER(I28),G28*I28,"")</f>
        <v>103.167</v>
      </c>
      <c r="K28" s="11" t="s">
        <v>72</v>
      </c>
      <c r="L28" s="11" t="s">
        <v>32</v>
      </c>
      <c r="M28" s="11"/>
    </row>
    <row r="29" customFormat="false" ht="23.85" hidden="false" customHeight="false" outlineLevel="0" collapsed="false">
      <c r="A29" s="11" t="n">
        <v>210</v>
      </c>
      <c r="B29" s="11" t="s">
        <v>117</v>
      </c>
      <c r="C29" s="11" t="s">
        <v>118</v>
      </c>
      <c r="D29" s="11" t="s">
        <v>119</v>
      </c>
      <c r="E29" s="11" t="s">
        <v>138</v>
      </c>
      <c r="F29" s="11" t="s">
        <v>139</v>
      </c>
      <c r="G29" s="12" t="n">
        <v>2</v>
      </c>
      <c r="H29" s="11" t="s">
        <v>71</v>
      </c>
      <c r="I29" s="15"/>
      <c r="J29" s="14" t="str">
        <f aca="false">IF(ISNUMBER(I29),G29*I29,"")</f>
        <v/>
      </c>
      <c r="K29" s="11" t="s">
        <v>140</v>
      </c>
      <c r="L29" s="11" t="s">
        <v>34</v>
      </c>
      <c r="M29" s="11" t="s">
        <v>141</v>
      </c>
    </row>
    <row r="30" customFormat="false" ht="23.85" hidden="false" customHeight="false" outlineLevel="0" collapsed="false">
      <c r="A30" s="11" t="n">
        <v>220</v>
      </c>
      <c r="B30" s="11" t="s">
        <v>117</v>
      </c>
      <c r="C30" s="11" t="s">
        <v>118</v>
      </c>
      <c r="D30" s="11" t="s">
        <v>119</v>
      </c>
      <c r="E30" s="11" t="s">
        <v>142</v>
      </c>
      <c r="F30" s="11" t="s">
        <v>143</v>
      </c>
      <c r="G30" s="12" t="n">
        <v>1</v>
      </c>
      <c r="H30" s="11" t="s">
        <v>71</v>
      </c>
      <c r="I30" s="15"/>
      <c r="J30" s="14" t="str">
        <f aca="false">IF(ISNUMBER(I30),G30*I30,"")</f>
        <v/>
      </c>
      <c r="K30" s="11" t="s">
        <v>140</v>
      </c>
      <c r="L30" s="11" t="s">
        <v>34</v>
      </c>
      <c r="M30" s="11"/>
    </row>
    <row r="31" customFormat="false" ht="23.85" hidden="false" customHeight="false" outlineLevel="0" collapsed="false">
      <c r="A31" s="11" t="n">
        <v>230</v>
      </c>
      <c r="B31" s="11" t="s">
        <v>117</v>
      </c>
      <c r="C31" s="11" t="s">
        <v>118</v>
      </c>
      <c r="D31" s="11" t="s">
        <v>119</v>
      </c>
      <c r="E31" s="11" t="s">
        <v>144</v>
      </c>
      <c r="F31" s="11" t="s">
        <v>145</v>
      </c>
      <c r="G31" s="12" t="n">
        <v>8</v>
      </c>
      <c r="H31" s="11" t="s">
        <v>71</v>
      </c>
      <c r="I31" s="15"/>
      <c r="J31" s="14" t="str">
        <f aca="false">IF(ISNUMBER(I31),G31*I31,"")</f>
        <v/>
      </c>
      <c r="K31" s="11" t="s">
        <v>140</v>
      </c>
      <c r="L31" s="11" t="s">
        <v>34</v>
      </c>
      <c r="M31" s="11" t="s">
        <v>146</v>
      </c>
    </row>
    <row r="32" customFormat="false" ht="23.85" hidden="false" customHeight="false" outlineLevel="0" collapsed="false">
      <c r="A32" s="11" t="n">
        <v>240</v>
      </c>
      <c r="B32" s="11" t="s">
        <v>117</v>
      </c>
      <c r="C32" s="11" t="s">
        <v>118</v>
      </c>
      <c r="D32" s="11" t="s">
        <v>119</v>
      </c>
      <c r="E32" s="11" t="s">
        <v>147</v>
      </c>
      <c r="F32" s="11" t="s">
        <v>148</v>
      </c>
      <c r="G32" s="12" t="n">
        <v>8</v>
      </c>
      <c r="H32" s="11" t="s">
        <v>71</v>
      </c>
      <c r="I32" s="15"/>
      <c r="J32" s="14" t="str">
        <f aca="false">IF(ISNUMBER(I32),G32*I32,"")</f>
        <v/>
      </c>
      <c r="K32" s="11" t="s">
        <v>140</v>
      </c>
      <c r="L32" s="11" t="s">
        <v>34</v>
      </c>
      <c r="M32" s="11"/>
    </row>
    <row r="33" customFormat="false" ht="23.85" hidden="false" customHeight="false" outlineLevel="0" collapsed="false">
      <c r="A33" s="11" t="n">
        <v>250</v>
      </c>
      <c r="B33" s="11" t="s">
        <v>117</v>
      </c>
      <c r="C33" s="11" t="s">
        <v>118</v>
      </c>
      <c r="D33" s="11" t="s">
        <v>119</v>
      </c>
      <c r="E33" s="11" t="s">
        <v>149</v>
      </c>
      <c r="F33" s="11" t="s">
        <v>150</v>
      </c>
      <c r="G33" s="12" t="n">
        <v>150</v>
      </c>
      <c r="H33" s="11" t="s">
        <v>71</v>
      </c>
      <c r="I33" s="15"/>
      <c r="J33" s="14" t="str">
        <f aca="false">IF(ISNUMBER(I33),G33*I33,"")</f>
        <v/>
      </c>
      <c r="K33" s="11" t="s">
        <v>140</v>
      </c>
      <c r="L33" s="11" t="s">
        <v>34</v>
      </c>
      <c r="M33" s="11" t="s">
        <v>151</v>
      </c>
    </row>
    <row r="34" customFormat="false" ht="23.85" hidden="false" customHeight="false" outlineLevel="0" collapsed="false">
      <c r="A34" s="11" t="n">
        <v>260</v>
      </c>
      <c r="B34" s="11" t="s">
        <v>117</v>
      </c>
      <c r="C34" s="11" t="s">
        <v>118</v>
      </c>
      <c r="D34" s="11" t="s">
        <v>119</v>
      </c>
      <c r="E34" s="11" t="s">
        <v>152</v>
      </c>
      <c r="F34" s="11" t="s">
        <v>153</v>
      </c>
      <c r="G34" s="12" t="n">
        <v>1</v>
      </c>
      <c r="H34" s="11" t="s">
        <v>71</v>
      </c>
      <c r="I34" s="15"/>
      <c r="J34" s="14" t="str">
        <f aca="false">IF(ISNUMBER(I34),G34*I34,"")</f>
        <v/>
      </c>
      <c r="K34" s="11" t="s">
        <v>140</v>
      </c>
      <c r="L34" s="11" t="s">
        <v>36</v>
      </c>
      <c r="M34" s="11" t="s">
        <v>154</v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7" t="s">
        <v>155</v>
      </c>
      <c r="G35" s="16"/>
      <c r="H35" s="16"/>
      <c r="I35" s="16"/>
      <c r="J35" s="18" t="n">
        <f aca="false">SUBTOTAL(9,J21:J34)</f>
        <v>6241.7025</v>
      </c>
      <c r="K35" s="16"/>
      <c r="L35" s="19" t="str">
        <f aca="false">COUNTIFS(B21:B34,"B",I21:I34,"")&amp;" lines RFQ"</f>
        <v>6 lines RFQ</v>
      </c>
      <c r="M35" s="16"/>
    </row>
    <row r="37" customFormat="false" ht="15" hidden="false" customHeight="false" outlineLevel="0" collapsed="false">
      <c r="A37" s="9"/>
      <c r="B37" s="10" t="s">
        <v>156</v>
      </c>
      <c r="C37" s="10" t="s">
        <v>157</v>
      </c>
      <c r="D37" s="9"/>
      <c r="E37" s="9"/>
      <c r="F37" s="9"/>
      <c r="G37" s="9"/>
      <c r="H37" s="9"/>
      <c r="I37" s="9"/>
      <c r="J37" s="9"/>
      <c r="K37" s="9"/>
      <c r="L37" s="9"/>
      <c r="M37" s="9"/>
    </row>
    <row r="38" customFormat="false" ht="35.05" hidden="false" customHeight="false" outlineLevel="0" collapsed="false">
      <c r="A38" s="11" t="n">
        <v>270</v>
      </c>
      <c r="B38" s="11" t="s">
        <v>156</v>
      </c>
      <c r="C38" s="11" t="s">
        <v>157</v>
      </c>
      <c r="D38" s="11" t="s">
        <v>158</v>
      </c>
      <c r="E38" s="11" t="s">
        <v>159</v>
      </c>
      <c r="F38" s="11" t="s">
        <v>160</v>
      </c>
      <c r="G38" s="12" t="n">
        <v>1</v>
      </c>
      <c r="H38" s="11" t="s">
        <v>71</v>
      </c>
      <c r="I38" s="13" t="n">
        <v>322.7805</v>
      </c>
      <c r="J38" s="14" t="n">
        <f aca="false">IF(ISNUMBER(I38),G38*I38,"")</f>
        <v>322.7805</v>
      </c>
      <c r="K38" s="11" t="s">
        <v>72</v>
      </c>
      <c r="L38" s="11" t="s">
        <v>32</v>
      </c>
      <c r="M38" s="11"/>
    </row>
    <row r="39" customFormat="false" ht="35.05" hidden="false" customHeight="false" outlineLevel="0" collapsed="false">
      <c r="A39" s="11" t="n">
        <v>280</v>
      </c>
      <c r="B39" s="11" t="s">
        <v>156</v>
      </c>
      <c r="C39" s="11" t="s">
        <v>157</v>
      </c>
      <c r="D39" s="11" t="s">
        <v>158</v>
      </c>
      <c r="E39" s="11" t="s">
        <v>122</v>
      </c>
      <c r="F39" s="11" t="s">
        <v>123</v>
      </c>
      <c r="G39" s="12" t="n">
        <v>1</v>
      </c>
      <c r="H39" s="11" t="s">
        <v>71</v>
      </c>
      <c r="I39" s="13" t="n">
        <v>320.0265</v>
      </c>
      <c r="J39" s="14" t="n">
        <f aca="false">IF(ISNUMBER(I39),G39*I39,"")</f>
        <v>320.0265</v>
      </c>
      <c r="K39" s="11" t="s">
        <v>72</v>
      </c>
      <c r="L39" s="11" t="s">
        <v>32</v>
      </c>
      <c r="M39" s="11"/>
    </row>
    <row r="40" customFormat="false" ht="35.05" hidden="false" customHeight="false" outlineLevel="0" collapsed="false">
      <c r="A40" s="11" t="n">
        <v>290</v>
      </c>
      <c r="B40" s="11" t="s">
        <v>156</v>
      </c>
      <c r="C40" s="11" t="s">
        <v>157</v>
      </c>
      <c r="D40" s="11" t="s">
        <v>158</v>
      </c>
      <c r="E40" s="11" t="s">
        <v>161</v>
      </c>
      <c r="F40" s="11" t="s">
        <v>162</v>
      </c>
      <c r="G40" s="12" t="n">
        <v>1</v>
      </c>
      <c r="H40" s="11" t="s">
        <v>71</v>
      </c>
      <c r="I40" s="13" t="n">
        <v>789.4575</v>
      </c>
      <c r="J40" s="14" t="n">
        <f aca="false">IF(ISNUMBER(I40),G40*I40,"")</f>
        <v>789.4575</v>
      </c>
      <c r="K40" s="11" t="s">
        <v>72</v>
      </c>
      <c r="L40" s="11" t="s">
        <v>32</v>
      </c>
      <c r="M40" s="11"/>
    </row>
    <row r="41" customFormat="false" ht="35.05" hidden="false" customHeight="false" outlineLevel="0" collapsed="false">
      <c r="A41" s="11" t="n">
        <v>300</v>
      </c>
      <c r="B41" s="11" t="s">
        <v>156</v>
      </c>
      <c r="C41" s="11" t="s">
        <v>157</v>
      </c>
      <c r="D41" s="11" t="s">
        <v>158</v>
      </c>
      <c r="E41" s="11" t="s">
        <v>132</v>
      </c>
      <c r="F41" s="11" t="s">
        <v>133</v>
      </c>
      <c r="G41" s="12" t="n">
        <v>5</v>
      </c>
      <c r="H41" s="11" t="s">
        <v>71</v>
      </c>
      <c r="I41" s="13" t="n">
        <v>212.1705</v>
      </c>
      <c r="J41" s="14" t="n">
        <f aca="false">IF(ISNUMBER(I41),G41*I41,"")</f>
        <v>1060.8525</v>
      </c>
      <c r="K41" s="11" t="s">
        <v>163</v>
      </c>
      <c r="L41" s="11" t="s">
        <v>32</v>
      </c>
      <c r="M41" s="11" t="s">
        <v>164</v>
      </c>
    </row>
    <row r="42" customFormat="false" ht="35.05" hidden="false" customHeight="false" outlineLevel="0" collapsed="false">
      <c r="A42" s="11" t="n">
        <v>310</v>
      </c>
      <c r="B42" s="11" t="s">
        <v>156</v>
      </c>
      <c r="C42" s="11" t="s">
        <v>157</v>
      </c>
      <c r="D42" s="11" t="s">
        <v>158</v>
      </c>
      <c r="E42" s="11" t="s">
        <v>134</v>
      </c>
      <c r="F42" s="11" t="s">
        <v>135</v>
      </c>
      <c r="G42" s="12" t="n">
        <v>2</v>
      </c>
      <c r="H42" s="11" t="s">
        <v>71</v>
      </c>
      <c r="I42" s="13" t="n">
        <v>250.218</v>
      </c>
      <c r="J42" s="14" t="n">
        <f aca="false">IF(ISNUMBER(I42),G42*I42,"")</f>
        <v>500.436</v>
      </c>
      <c r="K42" s="11" t="s">
        <v>72</v>
      </c>
      <c r="L42" s="11" t="s">
        <v>32</v>
      </c>
      <c r="M42" s="11"/>
    </row>
    <row r="43" customFormat="false" ht="35.05" hidden="false" customHeight="false" outlineLevel="0" collapsed="false">
      <c r="A43" s="11" t="n">
        <v>320</v>
      </c>
      <c r="B43" s="11" t="s">
        <v>156</v>
      </c>
      <c r="C43" s="11" t="s">
        <v>157</v>
      </c>
      <c r="D43" s="11" t="s">
        <v>158</v>
      </c>
      <c r="E43" s="11" t="s">
        <v>136</v>
      </c>
      <c r="F43" s="11" t="s">
        <v>137</v>
      </c>
      <c r="G43" s="12" t="n">
        <v>7</v>
      </c>
      <c r="H43" s="11" t="s">
        <v>71</v>
      </c>
      <c r="I43" s="13" t="n">
        <v>51.5835</v>
      </c>
      <c r="J43" s="14" t="n">
        <f aca="false">IF(ISNUMBER(I43),G43*I43,"")</f>
        <v>361.0845</v>
      </c>
      <c r="K43" s="11" t="s">
        <v>163</v>
      </c>
      <c r="L43" s="11" t="s">
        <v>32</v>
      </c>
      <c r="M43" s="11" t="s">
        <v>165</v>
      </c>
    </row>
    <row r="44" customFormat="false" ht="35.05" hidden="false" customHeight="false" outlineLevel="0" collapsed="false">
      <c r="A44" s="11" t="n">
        <v>330</v>
      </c>
      <c r="B44" s="11" t="s">
        <v>156</v>
      </c>
      <c r="C44" s="11" t="s">
        <v>157</v>
      </c>
      <c r="D44" s="11" t="s">
        <v>158</v>
      </c>
      <c r="E44" s="11" t="s">
        <v>166</v>
      </c>
      <c r="F44" s="11" t="s">
        <v>167</v>
      </c>
      <c r="G44" s="12" t="n">
        <v>1</v>
      </c>
      <c r="H44" s="11" t="s">
        <v>71</v>
      </c>
      <c r="I44" s="13" t="n">
        <v>414.8775</v>
      </c>
      <c r="J44" s="14" t="n">
        <f aca="false">IF(ISNUMBER(I44),G44*I44,"")</f>
        <v>414.8775</v>
      </c>
      <c r="K44" s="11" t="s">
        <v>72</v>
      </c>
      <c r="L44" s="11" t="s">
        <v>32</v>
      </c>
      <c r="M44" s="11"/>
    </row>
    <row r="45" customFormat="false" ht="35.05" hidden="false" customHeight="false" outlineLevel="0" collapsed="false">
      <c r="A45" s="11" t="n">
        <v>340</v>
      </c>
      <c r="B45" s="11" t="s">
        <v>156</v>
      </c>
      <c r="C45" s="11" t="s">
        <v>157</v>
      </c>
      <c r="D45" s="11" t="s">
        <v>158</v>
      </c>
      <c r="E45" s="11" t="s">
        <v>168</v>
      </c>
      <c r="F45" s="11" t="s">
        <v>169</v>
      </c>
      <c r="G45" s="12" t="n">
        <v>1</v>
      </c>
      <c r="H45" s="11" t="s">
        <v>71</v>
      </c>
      <c r="I45" s="13" t="n">
        <v>7.965</v>
      </c>
      <c r="J45" s="14" t="n">
        <f aca="false">IF(ISNUMBER(I45),G45*I45,"")</f>
        <v>7.965</v>
      </c>
      <c r="K45" s="11" t="s">
        <v>72</v>
      </c>
      <c r="L45" s="11" t="s">
        <v>32</v>
      </c>
      <c r="M45" s="11"/>
    </row>
    <row r="46" customFormat="false" ht="35.05" hidden="false" customHeight="false" outlineLevel="0" collapsed="false">
      <c r="A46" s="11" t="n">
        <v>350</v>
      </c>
      <c r="B46" s="11" t="s">
        <v>156</v>
      </c>
      <c r="C46" s="11" t="s">
        <v>157</v>
      </c>
      <c r="D46" s="11" t="s">
        <v>170</v>
      </c>
      <c r="E46" s="11" t="s">
        <v>171</v>
      </c>
      <c r="F46" s="11" t="s">
        <v>172</v>
      </c>
      <c r="G46" s="12" t="n">
        <v>1</v>
      </c>
      <c r="H46" s="11" t="s">
        <v>71</v>
      </c>
      <c r="I46" s="15"/>
      <c r="J46" s="14" t="str">
        <f aca="false">IF(ISNUMBER(I46),G46*I46,"")</f>
        <v/>
      </c>
      <c r="K46" s="11" t="s">
        <v>106</v>
      </c>
      <c r="L46" s="11" t="s">
        <v>36</v>
      </c>
      <c r="M46" s="11" t="s">
        <v>173</v>
      </c>
    </row>
    <row r="47" customFormat="false" ht="35.05" hidden="false" customHeight="false" outlineLevel="0" collapsed="false">
      <c r="A47" s="11" t="n">
        <v>360</v>
      </c>
      <c r="B47" s="11" t="s">
        <v>156</v>
      </c>
      <c r="C47" s="11" t="s">
        <v>157</v>
      </c>
      <c r="D47" s="11" t="s">
        <v>158</v>
      </c>
      <c r="E47" s="11" t="s">
        <v>138</v>
      </c>
      <c r="F47" s="11" t="s">
        <v>139</v>
      </c>
      <c r="G47" s="12" t="n">
        <v>2</v>
      </c>
      <c r="H47" s="11" t="s">
        <v>71</v>
      </c>
      <c r="I47" s="15"/>
      <c r="J47" s="14" t="str">
        <f aca="false">IF(ISNUMBER(I47),G47*I47,"")</f>
        <v/>
      </c>
      <c r="K47" s="11" t="s">
        <v>140</v>
      </c>
      <c r="L47" s="11" t="s">
        <v>34</v>
      </c>
      <c r="M47" s="11"/>
    </row>
    <row r="48" customFormat="false" ht="35.05" hidden="false" customHeight="false" outlineLevel="0" collapsed="false">
      <c r="A48" s="11" t="n">
        <v>370</v>
      </c>
      <c r="B48" s="11" t="s">
        <v>156</v>
      </c>
      <c r="C48" s="11" t="s">
        <v>157</v>
      </c>
      <c r="D48" s="11" t="s">
        <v>158</v>
      </c>
      <c r="E48" s="11" t="s">
        <v>142</v>
      </c>
      <c r="F48" s="11" t="s">
        <v>143</v>
      </c>
      <c r="G48" s="12" t="n">
        <v>1</v>
      </c>
      <c r="H48" s="11" t="s">
        <v>71</v>
      </c>
      <c r="I48" s="15"/>
      <c r="J48" s="14" t="str">
        <f aca="false">IF(ISNUMBER(I48),G48*I48,"")</f>
        <v/>
      </c>
      <c r="K48" s="11" t="s">
        <v>140</v>
      </c>
      <c r="L48" s="11" t="s">
        <v>34</v>
      </c>
      <c r="M48" s="11"/>
    </row>
    <row r="49" customFormat="false" ht="35.05" hidden="false" customHeight="false" outlineLevel="0" collapsed="false">
      <c r="A49" s="11" t="n">
        <v>380</v>
      </c>
      <c r="B49" s="11" t="s">
        <v>156</v>
      </c>
      <c r="C49" s="11" t="s">
        <v>157</v>
      </c>
      <c r="D49" s="11" t="s">
        <v>158</v>
      </c>
      <c r="E49" s="11" t="s">
        <v>144</v>
      </c>
      <c r="F49" s="11" t="s">
        <v>174</v>
      </c>
      <c r="G49" s="12" t="n">
        <v>32</v>
      </c>
      <c r="H49" s="11" t="s">
        <v>71</v>
      </c>
      <c r="I49" s="15"/>
      <c r="J49" s="14" t="str">
        <f aca="false">IF(ISNUMBER(I49),G49*I49,"")</f>
        <v/>
      </c>
      <c r="K49" s="11" t="s">
        <v>163</v>
      </c>
      <c r="L49" s="11" t="s">
        <v>34</v>
      </c>
      <c r="M49" s="11" t="s">
        <v>175</v>
      </c>
    </row>
    <row r="50" customFormat="false" ht="35.05" hidden="false" customHeight="false" outlineLevel="0" collapsed="false">
      <c r="A50" s="11" t="n">
        <v>390</v>
      </c>
      <c r="B50" s="11" t="s">
        <v>156</v>
      </c>
      <c r="C50" s="11" t="s">
        <v>157</v>
      </c>
      <c r="D50" s="11" t="s">
        <v>158</v>
      </c>
      <c r="E50" s="11" t="s">
        <v>147</v>
      </c>
      <c r="F50" s="11" t="s">
        <v>148</v>
      </c>
      <c r="G50" s="12" t="n">
        <v>32</v>
      </c>
      <c r="H50" s="11" t="s">
        <v>71</v>
      </c>
      <c r="I50" s="15"/>
      <c r="J50" s="14" t="str">
        <f aca="false">IF(ISNUMBER(I50),G50*I50,"")</f>
        <v/>
      </c>
      <c r="K50" s="11" t="s">
        <v>140</v>
      </c>
      <c r="L50" s="11" t="s">
        <v>34</v>
      </c>
      <c r="M50" s="11"/>
    </row>
    <row r="51" customFormat="false" ht="35.05" hidden="false" customHeight="false" outlineLevel="0" collapsed="false">
      <c r="A51" s="11" t="n">
        <v>400</v>
      </c>
      <c r="B51" s="11" t="s">
        <v>156</v>
      </c>
      <c r="C51" s="11" t="s">
        <v>157</v>
      </c>
      <c r="D51" s="11" t="s">
        <v>158</v>
      </c>
      <c r="E51" s="11" t="s">
        <v>149</v>
      </c>
      <c r="F51" s="11" t="s">
        <v>150</v>
      </c>
      <c r="G51" s="12" t="n">
        <v>400</v>
      </c>
      <c r="H51" s="11" t="s">
        <v>71</v>
      </c>
      <c r="I51" s="15"/>
      <c r="J51" s="14" t="str">
        <f aca="false">IF(ISNUMBER(I51),G51*I51,"")</f>
        <v/>
      </c>
      <c r="K51" s="11" t="s">
        <v>140</v>
      </c>
      <c r="L51" s="11" t="s">
        <v>34</v>
      </c>
      <c r="M51" s="11" t="s">
        <v>176</v>
      </c>
    </row>
    <row r="52" customFormat="false" ht="35.05" hidden="false" customHeight="false" outlineLevel="0" collapsed="false">
      <c r="A52" s="11" t="n">
        <v>410</v>
      </c>
      <c r="B52" s="11" t="s">
        <v>156</v>
      </c>
      <c r="C52" s="11" t="s">
        <v>157</v>
      </c>
      <c r="D52" s="11" t="s">
        <v>158</v>
      </c>
      <c r="E52" s="11" t="s">
        <v>152</v>
      </c>
      <c r="F52" s="11" t="s">
        <v>153</v>
      </c>
      <c r="G52" s="12" t="n">
        <v>1</v>
      </c>
      <c r="H52" s="11" t="s">
        <v>71</v>
      </c>
      <c r="I52" s="15"/>
      <c r="J52" s="14" t="str">
        <f aca="false">IF(ISNUMBER(I52),G52*I52,"")</f>
        <v/>
      </c>
      <c r="K52" s="11" t="s">
        <v>140</v>
      </c>
      <c r="L52" s="11" t="s">
        <v>36</v>
      </c>
      <c r="M52" s="11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7" t="s">
        <v>177</v>
      </c>
      <c r="G53" s="16"/>
      <c r="H53" s="16"/>
      <c r="I53" s="16"/>
      <c r="J53" s="18" t="n">
        <f aca="false">SUBTOTAL(9,J38:J52)</f>
        <v>3777.48</v>
      </c>
      <c r="K53" s="16"/>
      <c r="L53" s="19" t="str">
        <f aca="false">COUNTIFS(B38:B52,"C",I38:I52,"")&amp;" lines RFQ"</f>
        <v>7 lines RFQ</v>
      </c>
      <c r="M53" s="16"/>
    </row>
    <row r="55" customFormat="false" ht="15" hidden="false" customHeight="false" outlineLevel="0" collapsed="false">
      <c r="A55" s="9"/>
      <c r="B55" s="10" t="s">
        <v>178</v>
      </c>
      <c r="C55" s="10" t="s">
        <v>179</v>
      </c>
      <c r="D55" s="9"/>
      <c r="E55" s="9"/>
      <c r="F55" s="9"/>
      <c r="G55" s="9"/>
      <c r="H55" s="9"/>
      <c r="I55" s="9"/>
      <c r="J55" s="9"/>
      <c r="K55" s="9"/>
      <c r="L55" s="9"/>
      <c r="M55" s="9"/>
    </row>
    <row r="56" customFormat="false" ht="23.85" hidden="false" customHeight="false" outlineLevel="0" collapsed="false">
      <c r="A56" s="11" t="n">
        <v>420</v>
      </c>
      <c r="B56" s="11" t="s">
        <v>178</v>
      </c>
      <c r="C56" s="11" t="s">
        <v>179</v>
      </c>
      <c r="D56" s="11" t="s">
        <v>180</v>
      </c>
      <c r="E56" s="11" t="s">
        <v>181</v>
      </c>
      <c r="F56" s="11" t="s">
        <v>182</v>
      </c>
      <c r="G56" s="12" t="n">
        <v>8</v>
      </c>
      <c r="H56" s="11" t="s">
        <v>71</v>
      </c>
      <c r="I56" s="15"/>
      <c r="J56" s="14" t="str">
        <f aca="false">IF(ISNUMBER(I56),G56*I56,"")</f>
        <v/>
      </c>
      <c r="K56" s="11" t="s">
        <v>183</v>
      </c>
      <c r="L56" s="11" t="s">
        <v>32</v>
      </c>
      <c r="M56" s="11" t="s">
        <v>184</v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7" t="s">
        <v>185</v>
      </c>
      <c r="G57" s="16"/>
      <c r="H57" s="16"/>
      <c r="I57" s="16"/>
      <c r="J57" s="18" t="n">
        <f aca="false">SUBTOTAL(9,J56:J56)</f>
        <v>0</v>
      </c>
      <c r="K57" s="16"/>
      <c r="L57" s="19" t="str">
        <f aca="false">COUNTIFS(B56:B56,"D",I56:I56,"")&amp;" lines RFQ"</f>
        <v>1 lines RFQ</v>
      </c>
      <c r="M57" s="16"/>
    </row>
    <row r="59" customFormat="false" ht="15" hidden="false" customHeight="false" outlineLevel="0" collapsed="false">
      <c r="A59" s="9"/>
      <c r="B59" s="10" t="s">
        <v>186</v>
      </c>
      <c r="C59" s="10" t="s">
        <v>187</v>
      </c>
      <c r="D59" s="9"/>
      <c r="E59" s="9"/>
      <c r="F59" s="9"/>
      <c r="G59" s="9"/>
      <c r="H59" s="9"/>
      <c r="I59" s="9"/>
      <c r="J59" s="9"/>
      <c r="K59" s="9"/>
      <c r="L59" s="9"/>
      <c r="M59" s="9"/>
    </row>
    <row r="60" customFormat="false" ht="23.85" hidden="false" customHeight="false" outlineLevel="0" collapsed="false">
      <c r="A60" s="11" t="n">
        <v>430</v>
      </c>
      <c r="B60" s="11" t="s">
        <v>186</v>
      </c>
      <c r="C60" s="11" t="s">
        <v>187</v>
      </c>
      <c r="D60" s="11" t="s">
        <v>188</v>
      </c>
      <c r="E60" s="11" t="s">
        <v>189</v>
      </c>
      <c r="F60" s="11" t="s">
        <v>190</v>
      </c>
      <c r="G60" s="12" t="n">
        <v>2</v>
      </c>
      <c r="H60" s="11" t="s">
        <v>71</v>
      </c>
      <c r="I60" s="13" t="n">
        <v>308.772</v>
      </c>
      <c r="J60" s="14" t="n">
        <f aca="false">IF(ISNUMBER(I60),G60*I60,"")</f>
        <v>617.544</v>
      </c>
      <c r="K60" s="11" t="s">
        <v>72</v>
      </c>
      <c r="L60" s="11" t="s">
        <v>32</v>
      </c>
      <c r="M60" s="11"/>
    </row>
    <row r="61" customFormat="false" ht="23.85" hidden="false" customHeight="false" outlineLevel="0" collapsed="false">
      <c r="A61" s="11" t="n">
        <v>440</v>
      </c>
      <c r="B61" s="11" t="s">
        <v>186</v>
      </c>
      <c r="C61" s="11" t="s">
        <v>187</v>
      </c>
      <c r="D61" s="11" t="s">
        <v>188</v>
      </c>
      <c r="E61" s="11" t="s">
        <v>191</v>
      </c>
      <c r="F61" s="11" t="s">
        <v>192</v>
      </c>
      <c r="G61" s="12" t="n">
        <v>2</v>
      </c>
      <c r="H61" s="11" t="s">
        <v>71</v>
      </c>
      <c r="I61" s="13" t="n">
        <v>88.695</v>
      </c>
      <c r="J61" s="14" t="n">
        <f aca="false">IF(ISNUMBER(I61),G61*I61,"")</f>
        <v>177.39</v>
      </c>
      <c r="K61" s="11" t="s">
        <v>72</v>
      </c>
      <c r="L61" s="11" t="s">
        <v>32</v>
      </c>
      <c r="M61" s="11"/>
    </row>
    <row r="62" customFormat="false" ht="23.85" hidden="false" customHeight="false" outlineLevel="0" collapsed="false">
      <c r="A62" s="11" t="n">
        <v>450</v>
      </c>
      <c r="B62" s="11" t="s">
        <v>186</v>
      </c>
      <c r="C62" s="11" t="s">
        <v>187</v>
      </c>
      <c r="D62" s="11" t="s">
        <v>188</v>
      </c>
      <c r="E62" s="11" t="s">
        <v>193</v>
      </c>
      <c r="F62" s="11" t="s">
        <v>194</v>
      </c>
      <c r="G62" s="12" t="n">
        <v>4</v>
      </c>
      <c r="H62" s="11" t="s">
        <v>71</v>
      </c>
      <c r="I62" s="13" t="n">
        <v>18</v>
      </c>
      <c r="J62" s="14" t="n">
        <f aca="false">IF(ISNUMBER(I62),G62*I62,"")</f>
        <v>72</v>
      </c>
      <c r="K62" s="11" t="s">
        <v>72</v>
      </c>
      <c r="L62" s="11" t="s">
        <v>32</v>
      </c>
      <c r="M62" s="11" t="s">
        <v>195</v>
      </c>
    </row>
    <row r="63" customFormat="false" ht="23.85" hidden="false" customHeight="false" outlineLevel="0" collapsed="false">
      <c r="A63" s="11" t="n">
        <v>460</v>
      </c>
      <c r="B63" s="11" t="s">
        <v>186</v>
      </c>
      <c r="C63" s="11" t="s">
        <v>187</v>
      </c>
      <c r="D63" s="11" t="s">
        <v>188</v>
      </c>
      <c r="E63" s="11" t="s">
        <v>196</v>
      </c>
      <c r="F63" s="11" t="s">
        <v>197</v>
      </c>
      <c r="G63" s="12" t="n">
        <v>4</v>
      </c>
      <c r="H63" s="11" t="s">
        <v>71</v>
      </c>
      <c r="I63" s="13" t="n">
        <v>122.2884</v>
      </c>
      <c r="J63" s="14" t="n">
        <f aca="false">IF(ISNUMBER(I63),G63*I63,"")</f>
        <v>489.1536</v>
      </c>
      <c r="K63" s="11" t="s">
        <v>72</v>
      </c>
      <c r="L63" s="11" t="s">
        <v>32</v>
      </c>
      <c r="M63" s="11" t="s">
        <v>198</v>
      </c>
    </row>
    <row r="64" customFormat="false" ht="23.85" hidden="false" customHeight="false" outlineLevel="0" collapsed="false">
      <c r="A64" s="11" t="n">
        <v>470</v>
      </c>
      <c r="B64" s="11" t="s">
        <v>186</v>
      </c>
      <c r="C64" s="11" t="s">
        <v>187</v>
      </c>
      <c r="D64" s="11" t="s">
        <v>188</v>
      </c>
      <c r="E64" s="11" t="s">
        <v>199</v>
      </c>
      <c r="F64" s="11" t="s">
        <v>200</v>
      </c>
      <c r="G64" s="12" t="n">
        <v>4</v>
      </c>
      <c r="H64" s="11" t="s">
        <v>71</v>
      </c>
      <c r="I64" s="13" t="n">
        <v>63</v>
      </c>
      <c r="J64" s="14" t="n">
        <f aca="false">IF(ISNUMBER(I64),G64*I64,"")</f>
        <v>252</v>
      </c>
      <c r="K64" s="11" t="s">
        <v>72</v>
      </c>
      <c r="L64" s="11" t="s">
        <v>32</v>
      </c>
      <c r="M64" s="11" t="s">
        <v>201</v>
      </c>
    </row>
    <row r="65" customFormat="false" ht="23.85" hidden="false" customHeight="false" outlineLevel="0" collapsed="false">
      <c r="A65" s="11" t="n">
        <v>480</v>
      </c>
      <c r="B65" s="11" t="s">
        <v>186</v>
      </c>
      <c r="C65" s="11" t="s">
        <v>187</v>
      </c>
      <c r="D65" s="11" t="s">
        <v>188</v>
      </c>
      <c r="E65" s="11" t="s">
        <v>202</v>
      </c>
      <c r="F65" s="11" t="s">
        <v>203</v>
      </c>
      <c r="G65" s="12" t="n">
        <v>2</v>
      </c>
      <c r="H65" s="11" t="s">
        <v>71</v>
      </c>
      <c r="I65" s="13" t="n">
        <v>137.268</v>
      </c>
      <c r="J65" s="14" t="n">
        <f aca="false">IF(ISNUMBER(I65),G65*I65,"")</f>
        <v>274.536</v>
      </c>
      <c r="K65" s="11" t="s">
        <v>72</v>
      </c>
      <c r="L65" s="11" t="s">
        <v>32</v>
      </c>
      <c r="M65" s="11" t="s">
        <v>204</v>
      </c>
    </row>
    <row r="66" customFormat="false" ht="23.85" hidden="false" customHeight="false" outlineLevel="0" collapsed="false">
      <c r="A66" s="11" t="n">
        <v>490</v>
      </c>
      <c r="B66" s="11" t="s">
        <v>186</v>
      </c>
      <c r="C66" s="11" t="s">
        <v>187</v>
      </c>
      <c r="D66" s="11" t="s">
        <v>188</v>
      </c>
      <c r="E66" s="11" t="s">
        <v>205</v>
      </c>
      <c r="F66" s="11" t="s">
        <v>206</v>
      </c>
      <c r="G66" s="12" t="n">
        <v>2</v>
      </c>
      <c r="H66" s="11" t="s">
        <v>71</v>
      </c>
      <c r="I66" s="13" t="n">
        <v>58</v>
      </c>
      <c r="J66" s="14" t="n">
        <f aca="false">IF(ISNUMBER(I66),G66*I66,"")</f>
        <v>116</v>
      </c>
      <c r="K66" s="11" t="s">
        <v>72</v>
      </c>
      <c r="L66" s="11" t="s">
        <v>32</v>
      </c>
      <c r="M66" s="11" t="s">
        <v>207</v>
      </c>
    </row>
    <row r="67" customFormat="false" ht="23.85" hidden="false" customHeight="false" outlineLevel="0" collapsed="false">
      <c r="A67" s="11" t="n">
        <v>500</v>
      </c>
      <c r="B67" s="11" t="s">
        <v>186</v>
      </c>
      <c r="C67" s="11" t="s">
        <v>187</v>
      </c>
      <c r="D67" s="11" t="s">
        <v>208</v>
      </c>
      <c r="E67" s="11" t="s">
        <v>209</v>
      </c>
      <c r="F67" s="11" t="s">
        <v>210</v>
      </c>
      <c r="G67" s="12" t="n">
        <v>1</v>
      </c>
      <c r="H67" s="11" t="s">
        <v>71</v>
      </c>
      <c r="I67" s="13" t="n">
        <v>800</v>
      </c>
      <c r="J67" s="14" t="n">
        <f aca="false">IF(ISNUMBER(I67),G67*I67,"")</f>
        <v>800</v>
      </c>
      <c r="K67" s="11" t="s">
        <v>72</v>
      </c>
      <c r="L67" s="11" t="s">
        <v>32</v>
      </c>
      <c r="M67" s="11" t="s">
        <v>211</v>
      </c>
    </row>
    <row r="68" customFormat="false" ht="23.85" hidden="false" customHeight="false" outlineLevel="0" collapsed="false">
      <c r="A68" s="11" t="n">
        <v>510</v>
      </c>
      <c r="B68" s="11" t="s">
        <v>186</v>
      </c>
      <c r="C68" s="11" t="s">
        <v>187</v>
      </c>
      <c r="D68" s="11" t="s">
        <v>208</v>
      </c>
      <c r="E68" s="11" t="s">
        <v>212</v>
      </c>
      <c r="F68" s="11" t="s">
        <v>213</v>
      </c>
      <c r="G68" s="12" t="n">
        <v>1</v>
      </c>
      <c r="H68" s="11" t="s">
        <v>71</v>
      </c>
      <c r="I68" s="13" t="n">
        <v>40</v>
      </c>
      <c r="J68" s="14" t="n">
        <f aca="false">IF(ISNUMBER(I68),G68*I68,"")</f>
        <v>40</v>
      </c>
      <c r="K68" s="11" t="s">
        <v>72</v>
      </c>
      <c r="L68" s="11" t="s">
        <v>32</v>
      </c>
      <c r="M68" s="11"/>
    </row>
    <row r="69" customFormat="false" ht="23.85" hidden="false" customHeight="false" outlineLevel="0" collapsed="false">
      <c r="A69" s="11" t="n">
        <v>520</v>
      </c>
      <c r="B69" s="11" t="s">
        <v>186</v>
      </c>
      <c r="C69" s="11" t="s">
        <v>187</v>
      </c>
      <c r="D69" s="11" t="s">
        <v>214</v>
      </c>
      <c r="E69" s="11" t="s">
        <v>215</v>
      </c>
      <c r="F69" s="11" t="s">
        <v>216</v>
      </c>
      <c r="G69" s="12" t="n">
        <v>2</v>
      </c>
      <c r="H69" s="11" t="s">
        <v>71</v>
      </c>
      <c r="I69" s="13" t="n">
        <v>1106</v>
      </c>
      <c r="J69" s="14" t="n">
        <f aca="false">IF(ISNUMBER(I69),G69*I69,"")</f>
        <v>2212</v>
      </c>
      <c r="K69" s="11" t="s">
        <v>72</v>
      </c>
      <c r="L69" s="11" t="s">
        <v>32</v>
      </c>
      <c r="M69" s="11"/>
    </row>
    <row r="70" customFormat="false" ht="23.85" hidden="false" customHeight="false" outlineLevel="0" collapsed="false">
      <c r="A70" s="11" t="n">
        <v>530</v>
      </c>
      <c r="B70" s="11" t="s">
        <v>186</v>
      </c>
      <c r="C70" s="11" t="s">
        <v>187</v>
      </c>
      <c r="D70" s="11" t="s">
        <v>214</v>
      </c>
      <c r="E70" s="11" t="s">
        <v>217</v>
      </c>
      <c r="F70" s="11" t="s">
        <v>218</v>
      </c>
      <c r="G70" s="12" t="n">
        <v>2</v>
      </c>
      <c r="H70" s="11" t="s">
        <v>71</v>
      </c>
      <c r="I70" s="13" t="n">
        <v>99</v>
      </c>
      <c r="J70" s="14" t="n">
        <f aca="false">IF(ISNUMBER(I70),G70*I70,"")</f>
        <v>198</v>
      </c>
      <c r="K70" s="11" t="s">
        <v>72</v>
      </c>
      <c r="L70" s="11" t="s">
        <v>32</v>
      </c>
      <c r="M70" s="11"/>
    </row>
    <row r="71" customFormat="false" ht="23.85" hidden="false" customHeight="false" outlineLevel="0" collapsed="false">
      <c r="A71" s="11" t="n">
        <v>540</v>
      </c>
      <c r="B71" s="11" t="s">
        <v>186</v>
      </c>
      <c r="C71" s="11" t="s">
        <v>187</v>
      </c>
      <c r="D71" s="11" t="s">
        <v>214</v>
      </c>
      <c r="E71" s="11" t="s">
        <v>219</v>
      </c>
      <c r="F71" s="11" t="s">
        <v>220</v>
      </c>
      <c r="G71" s="12" t="n">
        <v>4</v>
      </c>
      <c r="H71" s="11" t="s">
        <v>71</v>
      </c>
      <c r="I71" s="13" t="n">
        <v>230</v>
      </c>
      <c r="J71" s="14" t="n">
        <f aca="false">IF(ISNUMBER(I71),G71*I71,"")</f>
        <v>920</v>
      </c>
      <c r="K71" s="11" t="s">
        <v>72</v>
      </c>
      <c r="L71" s="11" t="s">
        <v>32</v>
      </c>
      <c r="M71" s="11"/>
    </row>
    <row r="72" customFormat="false" ht="23.85" hidden="false" customHeight="false" outlineLevel="0" collapsed="false">
      <c r="A72" s="11" t="n">
        <v>550</v>
      </c>
      <c r="B72" s="11" t="s">
        <v>186</v>
      </c>
      <c r="C72" s="11" t="s">
        <v>187</v>
      </c>
      <c r="D72" s="11" t="s">
        <v>221</v>
      </c>
      <c r="E72" s="11" t="s">
        <v>222</v>
      </c>
      <c r="F72" s="11" t="s">
        <v>223</v>
      </c>
      <c r="G72" s="12" t="n">
        <v>1</v>
      </c>
      <c r="H72" s="11" t="s">
        <v>71</v>
      </c>
      <c r="I72" s="15"/>
      <c r="J72" s="14" t="str">
        <f aca="false">IF(ISNUMBER(I72),G72*I72,"")</f>
        <v/>
      </c>
      <c r="K72" s="11" t="s">
        <v>183</v>
      </c>
      <c r="L72" s="11" t="s">
        <v>32</v>
      </c>
      <c r="M72" s="11" t="s">
        <v>224</v>
      </c>
    </row>
    <row r="73" customFormat="false" ht="23.85" hidden="false" customHeight="false" outlineLevel="0" collapsed="false">
      <c r="A73" s="11" t="n">
        <v>560</v>
      </c>
      <c r="B73" s="11" t="s">
        <v>186</v>
      </c>
      <c r="C73" s="11" t="s">
        <v>187</v>
      </c>
      <c r="D73" s="11" t="s">
        <v>225</v>
      </c>
      <c r="E73" s="11" t="s">
        <v>171</v>
      </c>
      <c r="F73" s="11" t="s">
        <v>226</v>
      </c>
      <c r="G73" s="12" t="n">
        <v>1</v>
      </c>
      <c r="H73" s="11" t="s">
        <v>71</v>
      </c>
      <c r="I73" s="15"/>
      <c r="J73" s="14" t="str">
        <f aca="false">IF(ISNUMBER(I73),G73*I73,"")</f>
        <v/>
      </c>
      <c r="K73" s="11" t="s">
        <v>106</v>
      </c>
      <c r="L73" s="11" t="s">
        <v>36</v>
      </c>
      <c r="M73" s="11"/>
    </row>
    <row r="74" customFormat="false" ht="23.85" hidden="false" customHeight="false" outlineLevel="0" collapsed="false">
      <c r="A74" s="11" t="n">
        <v>570</v>
      </c>
      <c r="B74" s="11" t="s">
        <v>186</v>
      </c>
      <c r="C74" s="11" t="s">
        <v>187</v>
      </c>
      <c r="D74" s="11" t="s">
        <v>227</v>
      </c>
      <c r="E74" s="11" t="s">
        <v>228</v>
      </c>
      <c r="F74" s="11" t="s">
        <v>229</v>
      </c>
      <c r="G74" s="12" t="n">
        <v>1</v>
      </c>
      <c r="H74" s="11" t="s">
        <v>71</v>
      </c>
      <c r="I74" s="15"/>
      <c r="J74" s="14" t="str">
        <f aca="false">IF(ISNUMBER(I74),G74*I74,"")</f>
        <v/>
      </c>
      <c r="K74" s="11" t="s">
        <v>140</v>
      </c>
      <c r="L74" s="11" t="s">
        <v>36</v>
      </c>
      <c r="M74" s="11"/>
    </row>
    <row r="75" customFormat="false" ht="23.85" hidden="false" customHeight="false" outlineLevel="0" collapsed="false">
      <c r="A75" s="11" t="n">
        <v>580</v>
      </c>
      <c r="B75" s="11" t="s">
        <v>186</v>
      </c>
      <c r="C75" s="11" t="s">
        <v>187</v>
      </c>
      <c r="D75" s="11" t="s">
        <v>227</v>
      </c>
      <c r="E75" s="11" t="s">
        <v>230</v>
      </c>
      <c r="F75" s="11" t="s">
        <v>231</v>
      </c>
      <c r="G75" s="12" t="n">
        <v>1</v>
      </c>
      <c r="H75" s="11" t="s">
        <v>71</v>
      </c>
      <c r="I75" s="15"/>
      <c r="J75" s="14" t="str">
        <f aca="false">IF(ISNUMBER(I75),G75*I75,"")</f>
        <v/>
      </c>
      <c r="K75" s="11" t="s">
        <v>140</v>
      </c>
      <c r="L75" s="11" t="s">
        <v>34</v>
      </c>
      <c r="M75" s="11" t="s">
        <v>232</v>
      </c>
    </row>
    <row r="76" customFormat="false" ht="23.85" hidden="false" customHeight="false" outlineLevel="0" collapsed="false">
      <c r="A76" s="11" t="n">
        <v>590</v>
      </c>
      <c r="B76" s="11" t="s">
        <v>186</v>
      </c>
      <c r="C76" s="11" t="s">
        <v>187</v>
      </c>
      <c r="D76" s="11" t="s">
        <v>227</v>
      </c>
      <c r="E76" s="11" t="s">
        <v>144</v>
      </c>
      <c r="F76" s="11" t="s">
        <v>233</v>
      </c>
      <c r="G76" s="12" t="n">
        <v>12</v>
      </c>
      <c r="H76" s="11" t="s">
        <v>71</v>
      </c>
      <c r="I76" s="15"/>
      <c r="J76" s="14" t="str">
        <f aca="false">IF(ISNUMBER(I76),G76*I76,"")</f>
        <v/>
      </c>
      <c r="K76" s="11" t="s">
        <v>163</v>
      </c>
      <c r="L76" s="11" t="s">
        <v>34</v>
      </c>
      <c r="M76" s="11"/>
    </row>
    <row r="77" customFormat="false" ht="23.85" hidden="false" customHeight="false" outlineLevel="0" collapsed="false">
      <c r="A77" s="11" t="n">
        <v>600</v>
      </c>
      <c r="B77" s="11" t="s">
        <v>186</v>
      </c>
      <c r="C77" s="11" t="s">
        <v>187</v>
      </c>
      <c r="D77" s="11" t="s">
        <v>227</v>
      </c>
      <c r="E77" s="11" t="s">
        <v>147</v>
      </c>
      <c r="F77" s="11" t="s">
        <v>148</v>
      </c>
      <c r="G77" s="12" t="n">
        <v>12</v>
      </c>
      <c r="H77" s="11" t="s">
        <v>71</v>
      </c>
      <c r="I77" s="15"/>
      <c r="J77" s="14" t="str">
        <f aca="false">IF(ISNUMBER(I77),G77*I77,"")</f>
        <v/>
      </c>
      <c r="K77" s="11" t="s">
        <v>140</v>
      </c>
      <c r="L77" s="11" t="s">
        <v>34</v>
      </c>
      <c r="M77" s="11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7" t="s">
        <v>234</v>
      </c>
      <c r="G78" s="16"/>
      <c r="H78" s="16"/>
      <c r="I78" s="16"/>
      <c r="J78" s="18" t="n">
        <f aca="false">SUBTOTAL(9,J60:J77)</f>
        <v>6168.6236</v>
      </c>
      <c r="K78" s="16"/>
      <c r="L78" s="19" t="str">
        <f aca="false">COUNTIFS(B60:B77,"E1",I60:I77,"")&amp;" lines RFQ"</f>
        <v>6 lines RFQ</v>
      </c>
      <c r="M78" s="16"/>
    </row>
    <row r="80" customFormat="false" ht="15" hidden="false" customHeight="false" outlineLevel="0" collapsed="false">
      <c r="A80" s="9"/>
      <c r="B80" s="10" t="s">
        <v>235</v>
      </c>
      <c r="C80" s="10" t="s">
        <v>236</v>
      </c>
      <c r="D80" s="9"/>
      <c r="E80" s="9"/>
      <c r="F80" s="9"/>
      <c r="G80" s="9"/>
      <c r="H80" s="9"/>
      <c r="I80" s="9"/>
      <c r="J80" s="9"/>
      <c r="K80" s="9"/>
      <c r="L80" s="9"/>
      <c r="M80" s="9"/>
    </row>
    <row r="81" customFormat="false" ht="23.85" hidden="false" customHeight="false" outlineLevel="0" collapsed="false">
      <c r="A81" s="11" t="n">
        <v>610</v>
      </c>
      <c r="B81" s="11" t="s">
        <v>235</v>
      </c>
      <c r="C81" s="11" t="s">
        <v>236</v>
      </c>
      <c r="D81" s="11" t="s">
        <v>237</v>
      </c>
      <c r="E81" s="11" t="s">
        <v>189</v>
      </c>
      <c r="F81" s="11" t="s">
        <v>190</v>
      </c>
      <c r="G81" s="12" t="n">
        <v>1</v>
      </c>
      <c r="H81" s="11" t="s">
        <v>71</v>
      </c>
      <c r="I81" s="13" t="n">
        <v>308.772</v>
      </c>
      <c r="J81" s="14" t="n">
        <f aca="false">IF(ISNUMBER(I81),G81*I81,"")</f>
        <v>308.772</v>
      </c>
      <c r="K81" s="11" t="s">
        <v>72</v>
      </c>
      <c r="L81" s="11" t="s">
        <v>32</v>
      </c>
      <c r="M81" s="11"/>
    </row>
    <row r="82" customFormat="false" ht="23.85" hidden="false" customHeight="false" outlineLevel="0" collapsed="false">
      <c r="A82" s="11" t="n">
        <v>620</v>
      </c>
      <c r="B82" s="11" t="s">
        <v>235</v>
      </c>
      <c r="C82" s="11" t="s">
        <v>236</v>
      </c>
      <c r="D82" s="11" t="s">
        <v>237</v>
      </c>
      <c r="E82" s="11" t="s">
        <v>191</v>
      </c>
      <c r="F82" s="11" t="s">
        <v>192</v>
      </c>
      <c r="G82" s="12" t="n">
        <v>1</v>
      </c>
      <c r="H82" s="11" t="s">
        <v>71</v>
      </c>
      <c r="I82" s="13" t="n">
        <v>88.695</v>
      </c>
      <c r="J82" s="14" t="n">
        <f aca="false">IF(ISNUMBER(I82),G82*I82,"")</f>
        <v>88.695</v>
      </c>
      <c r="K82" s="11" t="s">
        <v>72</v>
      </c>
      <c r="L82" s="11" t="s">
        <v>32</v>
      </c>
      <c r="M82" s="11"/>
    </row>
    <row r="83" customFormat="false" ht="23.85" hidden="false" customHeight="false" outlineLevel="0" collapsed="false">
      <c r="A83" s="11" t="n">
        <v>630</v>
      </c>
      <c r="B83" s="11" t="s">
        <v>235</v>
      </c>
      <c r="C83" s="11" t="s">
        <v>236</v>
      </c>
      <c r="D83" s="11" t="s">
        <v>237</v>
      </c>
      <c r="E83" s="11" t="s">
        <v>193</v>
      </c>
      <c r="F83" s="11" t="s">
        <v>194</v>
      </c>
      <c r="G83" s="12" t="n">
        <v>2</v>
      </c>
      <c r="H83" s="11" t="s">
        <v>71</v>
      </c>
      <c r="I83" s="13" t="n">
        <v>18</v>
      </c>
      <c r="J83" s="14" t="n">
        <f aca="false">IF(ISNUMBER(I83),G83*I83,"")</f>
        <v>36</v>
      </c>
      <c r="K83" s="11" t="s">
        <v>72</v>
      </c>
      <c r="L83" s="11" t="s">
        <v>32</v>
      </c>
      <c r="M83" s="11"/>
    </row>
    <row r="84" customFormat="false" ht="23.85" hidden="false" customHeight="false" outlineLevel="0" collapsed="false">
      <c r="A84" s="11" t="n">
        <v>640</v>
      </c>
      <c r="B84" s="11" t="s">
        <v>235</v>
      </c>
      <c r="C84" s="11" t="s">
        <v>236</v>
      </c>
      <c r="D84" s="11" t="s">
        <v>237</v>
      </c>
      <c r="E84" s="11" t="s">
        <v>196</v>
      </c>
      <c r="F84" s="11" t="s">
        <v>197</v>
      </c>
      <c r="G84" s="12" t="n">
        <v>3</v>
      </c>
      <c r="H84" s="11" t="s">
        <v>71</v>
      </c>
      <c r="I84" s="13" t="n">
        <v>122.2884</v>
      </c>
      <c r="J84" s="14" t="n">
        <f aca="false">IF(ISNUMBER(I84),G84*I84,"")</f>
        <v>366.8652</v>
      </c>
      <c r="K84" s="11" t="s">
        <v>72</v>
      </c>
      <c r="L84" s="11" t="s">
        <v>32</v>
      </c>
      <c r="M84" s="11" t="s">
        <v>198</v>
      </c>
    </row>
    <row r="85" customFormat="false" ht="23.85" hidden="false" customHeight="false" outlineLevel="0" collapsed="false">
      <c r="A85" s="11" t="n">
        <v>650</v>
      </c>
      <c r="B85" s="11" t="s">
        <v>235</v>
      </c>
      <c r="C85" s="11" t="s">
        <v>236</v>
      </c>
      <c r="D85" s="11" t="s">
        <v>237</v>
      </c>
      <c r="E85" s="11" t="s">
        <v>199</v>
      </c>
      <c r="F85" s="11" t="s">
        <v>200</v>
      </c>
      <c r="G85" s="12" t="n">
        <v>3</v>
      </c>
      <c r="H85" s="11" t="s">
        <v>71</v>
      </c>
      <c r="I85" s="13" t="n">
        <v>63</v>
      </c>
      <c r="J85" s="14" t="n">
        <f aca="false">IF(ISNUMBER(I85),G85*I85,"")</f>
        <v>189</v>
      </c>
      <c r="K85" s="11" t="s">
        <v>72</v>
      </c>
      <c r="L85" s="11" t="s">
        <v>32</v>
      </c>
      <c r="M85" s="11"/>
    </row>
    <row r="86" customFormat="false" ht="23.85" hidden="false" customHeight="false" outlineLevel="0" collapsed="false">
      <c r="A86" s="11" t="n">
        <v>660</v>
      </c>
      <c r="B86" s="11" t="s">
        <v>235</v>
      </c>
      <c r="C86" s="11" t="s">
        <v>236</v>
      </c>
      <c r="D86" s="11" t="s">
        <v>237</v>
      </c>
      <c r="E86" s="11" t="s">
        <v>202</v>
      </c>
      <c r="F86" s="11" t="s">
        <v>203</v>
      </c>
      <c r="G86" s="12" t="n">
        <v>1</v>
      </c>
      <c r="H86" s="11" t="s">
        <v>71</v>
      </c>
      <c r="I86" s="13" t="n">
        <v>137.268</v>
      </c>
      <c r="J86" s="14" t="n">
        <f aca="false">IF(ISNUMBER(I86),G86*I86,"")</f>
        <v>137.268</v>
      </c>
      <c r="K86" s="11" t="s">
        <v>72</v>
      </c>
      <c r="L86" s="11" t="s">
        <v>32</v>
      </c>
      <c r="M86" s="11" t="s">
        <v>238</v>
      </c>
    </row>
    <row r="87" customFormat="false" ht="23.85" hidden="false" customHeight="false" outlineLevel="0" collapsed="false">
      <c r="A87" s="11" t="n">
        <v>670</v>
      </c>
      <c r="B87" s="11" t="s">
        <v>235</v>
      </c>
      <c r="C87" s="11" t="s">
        <v>236</v>
      </c>
      <c r="D87" s="11" t="s">
        <v>237</v>
      </c>
      <c r="E87" s="11" t="s">
        <v>205</v>
      </c>
      <c r="F87" s="11" t="s">
        <v>206</v>
      </c>
      <c r="G87" s="12" t="n">
        <v>1</v>
      </c>
      <c r="H87" s="11" t="s">
        <v>71</v>
      </c>
      <c r="I87" s="13" t="n">
        <v>58</v>
      </c>
      <c r="J87" s="14" t="n">
        <f aca="false">IF(ISNUMBER(I87),G87*I87,"")</f>
        <v>58</v>
      </c>
      <c r="K87" s="11" t="s">
        <v>72</v>
      </c>
      <c r="L87" s="11" t="s">
        <v>32</v>
      </c>
      <c r="M87" s="11"/>
    </row>
    <row r="88" customFormat="false" ht="23.85" hidden="false" customHeight="false" outlineLevel="0" collapsed="false">
      <c r="A88" s="11" t="n">
        <v>680</v>
      </c>
      <c r="B88" s="11" t="s">
        <v>235</v>
      </c>
      <c r="C88" s="11" t="s">
        <v>236</v>
      </c>
      <c r="D88" s="11" t="s">
        <v>237</v>
      </c>
      <c r="E88" s="11" t="s">
        <v>209</v>
      </c>
      <c r="F88" s="11" t="s">
        <v>210</v>
      </c>
      <c r="G88" s="12" t="n">
        <v>1</v>
      </c>
      <c r="H88" s="11" t="s">
        <v>71</v>
      </c>
      <c r="I88" s="13" t="n">
        <v>800</v>
      </c>
      <c r="J88" s="14" t="n">
        <f aca="false">IF(ISNUMBER(I88),G88*I88,"")</f>
        <v>800</v>
      </c>
      <c r="K88" s="11" t="s">
        <v>72</v>
      </c>
      <c r="L88" s="11" t="s">
        <v>32</v>
      </c>
      <c r="M88" s="11"/>
    </row>
    <row r="89" customFormat="false" ht="23.85" hidden="false" customHeight="false" outlineLevel="0" collapsed="false">
      <c r="A89" s="11" t="n">
        <v>690</v>
      </c>
      <c r="B89" s="11" t="s">
        <v>235</v>
      </c>
      <c r="C89" s="11" t="s">
        <v>236</v>
      </c>
      <c r="D89" s="11" t="s">
        <v>237</v>
      </c>
      <c r="E89" s="11" t="s">
        <v>212</v>
      </c>
      <c r="F89" s="11" t="s">
        <v>213</v>
      </c>
      <c r="G89" s="12" t="n">
        <v>1</v>
      </c>
      <c r="H89" s="11" t="s">
        <v>71</v>
      </c>
      <c r="I89" s="13" t="n">
        <v>40</v>
      </c>
      <c r="J89" s="14" t="n">
        <f aca="false">IF(ISNUMBER(I89),G89*I89,"")</f>
        <v>40</v>
      </c>
      <c r="K89" s="11" t="s">
        <v>72</v>
      </c>
      <c r="L89" s="11" t="s">
        <v>32</v>
      </c>
      <c r="M89" s="11"/>
    </row>
    <row r="90" customFormat="false" ht="23.85" hidden="false" customHeight="false" outlineLevel="0" collapsed="false">
      <c r="A90" s="11" t="n">
        <v>700</v>
      </c>
      <c r="B90" s="11" t="s">
        <v>235</v>
      </c>
      <c r="C90" s="11" t="s">
        <v>236</v>
      </c>
      <c r="D90" s="11" t="s">
        <v>239</v>
      </c>
      <c r="E90" s="11" t="s">
        <v>215</v>
      </c>
      <c r="F90" s="11" t="s">
        <v>216</v>
      </c>
      <c r="G90" s="12" t="n">
        <v>1</v>
      </c>
      <c r="H90" s="11" t="s">
        <v>71</v>
      </c>
      <c r="I90" s="13" t="n">
        <v>1106</v>
      </c>
      <c r="J90" s="14" t="n">
        <f aca="false">IF(ISNUMBER(I90),G90*I90,"")</f>
        <v>1106</v>
      </c>
      <c r="K90" s="11" t="s">
        <v>72</v>
      </c>
      <c r="L90" s="11" t="s">
        <v>32</v>
      </c>
      <c r="M90" s="11"/>
    </row>
    <row r="91" customFormat="false" ht="23.85" hidden="false" customHeight="false" outlineLevel="0" collapsed="false">
      <c r="A91" s="11" t="n">
        <v>710</v>
      </c>
      <c r="B91" s="11" t="s">
        <v>235</v>
      </c>
      <c r="C91" s="11" t="s">
        <v>236</v>
      </c>
      <c r="D91" s="11" t="s">
        <v>239</v>
      </c>
      <c r="E91" s="11" t="s">
        <v>217</v>
      </c>
      <c r="F91" s="11" t="s">
        <v>218</v>
      </c>
      <c r="G91" s="12" t="n">
        <v>1</v>
      </c>
      <c r="H91" s="11" t="s">
        <v>71</v>
      </c>
      <c r="I91" s="13" t="n">
        <v>99</v>
      </c>
      <c r="J91" s="14" t="n">
        <f aca="false">IF(ISNUMBER(I91),G91*I91,"")</f>
        <v>99</v>
      </c>
      <c r="K91" s="11" t="s">
        <v>72</v>
      </c>
      <c r="L91" s="11" t="s">
        <v>32</v>
      </c>
      <c r="M91" s="11"/>
    </row>
    <row r="92" customFormat="false" ht="23.85" hidden="false" customHeight="false" outlineLevel="0" collapsed="false">
      <c r="A92" s="11" t="n">
        <v>720</v>
      </c>
      <c r="B92" s="11" t="s">
        <v>235</v>
      </c>
      <c r="C92" s="11" t="s">
        <v>236</v>
      </c>
      <c r="D92" s="11" t="s">
        <v>239</v>
      </c>
      <c r="E92" s="11" t="s">
        <v>219</v>
      </c>
      <c r="F92" s="11" t="s">
        <v>220</v>
      </c>
      <c r="G92" s="12" t="n">
        <v>1</v>
      </c>
      <c r="H92" s="11" t="s">
        <v>71</v>
      </c>
      <c r="I92" s="13" t="n">
        <v>230</v>
      </c>
      <c r="J92" s="14" t="n">
        <f aca="false">IF(ISNUMBER(I92),G92*I92,"")</f>
        <v>230</v>
      </c>
      <c r="K92" s="11" t="s">
        <v>72</v>
      </c>
      <c r="L92" s="11" t="s">
        <v>32</v>
      </c>
      <c r="M92" s="11"/>
    </row>
    <row r="93" customFormat="false" ht="23.85" hidden="false" customHeight="false" outlineLevel="0" collapsed="false">
      <c r="A93" s="11" t="n">
        <v>730</v>
      </c>
      <c r="B93" s="11" t="s">
        <v>235</v>
      </c>
      <c r="C93" s="11" t="s">
        <v>236</v>
      </c>
      <c r="D93" s="11" t="s">
        <v>240</v>
      </c>
      <c r="E93" s="11" t="s">
        <v>222</v>
      </c>
      <c r="F93" s="11" t="s">
        <v>223</v>
      </c>
      <c r="G93" s="12" t="n">
        <v>1</v>
      </c>
      <c r="H93" s="11" t="s">
        <v>71</v>
      </c>
      <c r="I93" s="15"/>
      <c r="J93" s="14" t="str">
        <f aca="false">IF(ISNUMBER(I93),G93*I93,"")</f>
        <v/>
      </c>
      <c r="K93" s="11" t="s">
        <v>183</v>
      </c>
      <c r="L93" s="11" t="s">
        <v>32</v>
      </c>
      <c r="M93" s="11"/>
    </row>
    <row r="94" customFormat="false" ht="23.85" hidden="false" customHeight="false" outlineLevel="0" collapsed="false">
      <c r="A94" s="11" t="n">
        <v>740</v>
      </c>
      <c r="B94" s="11" t="s">
        <v>235</v>
      </c>
      <c r="C94" s="11" t="s">
        <v>236</v>
      </c>
      <c r="D94" s="11" t="s">
        <v>241</v>
      </c>
      <c r="E94" s="11" t="s">
        <v>171</v>
      </c>
      <c r="F94" s="11" t="s">
        <v>226</v>
      </c>
      <c r="G94" s="12" t="n">
        <v>1</v>
      </c>
      <c r="H94" s="11" t="s">
        <v>71</v>
      </c>
      <c r="I94" s="15"/>
      <c r="J94" s="14" t="str">
        <f aca="false">IF(ISNUMBER(I94),G94*I94,"")</f>
        <v/>
      </c>
      <c r="K94" s="11" t="s">
        <v>106</v>
      </c>
      <c r="L94" s="11" t="s">
        <v>36</v>
      </c>
      <c r="M94" s="11"/>
    </row>
    <row r="95" customFormat="false" ht="23.85" hidden="false" customHeight="false" outlineLevel="0" collapsed="false">
      <c r="A95" s="11" t="n">
        <v>750</v>
      </c>
      <c r="B95" s="11" t="s">
        <v>235</v>
      </c>
      <c r="C95" s="11" t="s">
        <v>236</v>
      </c>
      <c r="D95" s="11" t="s">
        <v>242</v>
      </c>
      <c r="E95" s="11" t="s">
        <v>228</v>
      </c>
      <c r="F95" s="11" t="s">
        <v>229</v>
      </c>
      <c r="G95" s="12" t="n">
        <v>1</v>
      </c>
      <c r="H95" s="11" t="s">
        <v>71</v>
      </c>
      <c r="I95" s="15"/>
      <c r="J95" s="14" t="str">
        <f aca="false">IF(ISNUMBER(I95),G95*I95,"")</f>
        <v/>
      </c>
      <c r="K95" s="11" t="s">
        <v>140</v>
      </c>
      <c r="L95" s="11" t="s">
        <v>36</v>
      </c>
      <c r="M95" s="11"/>
    </row>
    <row r="96" customFormat="false" ht="23.85" hidden="false" customHeight="false" outlineLevel="0" collapsed="false">
      <c r="A96" s="11" t="n">
        <v>760</v>
      </c>
      <c r="B96" s="11" t="s">
        <v>235</v>
      </c>
      <c r="C96" s="11" t="s">
        <v>236</v>
      </c>
      <c r="D96" s="11" t="s">
        <v>242</v>
      </c>
      <c r="E96" s="11" t="s">
        <v>230</v>
      </c>
      <c r="F96" s="11" t="s">
        <v>231</v>
      </c>
      <c r="G96" s="12" t="n">
        <v>1</v>
      </c>
      <c r="H96" s="11" t="s">
        <v>71</v>
      </c>
      <c r="I96" s="15"/>
      <c r="J96" s="14" t="str">
        <f aca="false">IF(ISNUMBER(I96),G96*I96,"")</f>
        <v/>
      </c>
      <c r="K96" s="11" t="s">
        <v>140</v>
      </c>
      <c r="L96" s="11" t="s">
        <v>34</v>
      </c>
      <c r="M96" s="11"/>
    </row>
    <row r="97" customFormat="false" ht="23.85" hidden="false" customHeight="false" outlineLevel="0" collapsed="false">
      <c r="A97" s="11" t="n">
        <v>770</v>
      </c>
      <c r="B97" s="11" t="s">
        <v>235</v>
      </c>
      <c r="C97" s="11" t="s">
        <v>236</v>
      </c>
      <c r="D97" s="11" t="s">
        <v>242</v>
      </c>
      <c r="E97" s="11" t="s">
        <v>144</v>
      </c>
      <c r="F97" s="11" t="s">
        <v>233</v>
      </c>
      <c r="G97" s="12" t="n">
        <v>12</v>
      </c>
      <c r="H97" s="11" t="s">
        <v>71</v>
      </c>
      <c r="I97" s="15"/>
      <c r="J97" s="14" t="str">
        <f aca="false">IF(ISNUMBER(I97),G97*I97,"")</f>
        <v/>
      </c>
      <c r="K97" s="11" t="s">
        <v>163</v>
      </c>
      <c r="L97" s="11" t="s">
        <v>34</v>
      </c>
      <c r="M97" s="11"/>
    </row>
    <row r="98" customFormat="false" ht="23.85" hidden="false" customHeight="false" outlineLevel="0" collapsed="false">
      <c r="A98" s="11" t="n">
        <v>780</v>
      </c>
      <c r="B98" s="11" t="s">
        <v>235</v>
      </c>
      <c r="C98" s="11" t="s">
        <v>236</v>
      </c>
      <c r="D98" s="11" t="s">
        <v>242</v>
      </c>
      <c r="E98" s="11" t="s">
        <v>147</v>
      </c>
      <c r="F98" s="11" t="s">
        <v>148</v>
      </c>
      <c r="G98" s="12" t="n">
        <v>12</v>
      </c>
      <c r="H98" s="11" t="s">
        <v>71</v>
      </c>
      <c r="I98" s="15"/>
      <c r="J98" s="14" t="str">
        <f aca="false">IF(ISNUMBER(I98),G98*I98,"")</f>
        <v/>
      </c>
      <c r="K98" s="11" t="s">
        <v>140</v>
      </c>
      <c r="L98" s="11" t="s">
        <v>34</v>
      </c>
      <c r="M98" s="11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7" t="s">
        <v>243</v>
      </c>
      <c r="G99" s="16"/>
      <c r="H99" s="16"/>
      <c r="I99" s="16"/>
      <c r="J99" s="18" t="n">
        <f aca="false">SUBTOTAL(9,J81:J98)</f>
        <v>3459.6002</v>
      </c>
      <c r="K99" s="16"/>
      <c r="L99" s="19" t="str">
        <f aca="false">COUNTIFS(B81:B98,"E2",I81:I98,"")&amp;" lines RFQ"</f>
        <v>6 lines RFQ</v>
      </c>
      <c r="M99" s="16"/>
    </row>
    <row r="101" customFormat="false" ht="15" hidden="false" customHeight="false" outlineLevel="0" collapsed="false">
      <c r="A101" s="9"/>
      <c r="B101" s="10" t="s">
        <v>244</v>
      </c>
      <c r="C101" s="10" t="s">
        <v>245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customFormat="false" ht="23.85" hidden="false" customHeight="false" outlineLevel="0" collapsed="false">
      <c r="A102" s="11" t="n">
        <v>790</v>
      </c>
      <c r="B102" s="11" t="s">
        <v>244</v>
      </c>
      <c r="C102" s="11" t="s">
        <v>245</v>
      </c>
      <c r="D102" s="11" t="s">
        <v>246</v>
      </c>
      <c r="E102" s="11" t="s">
        <v>189</v>
      </c>
      <c r="F102" s="11" t="s">
        <v>190</v>
      </c>
      <c r="G102" s="12" t="n">
        <v>4</v>
      </c>
      <c r="H102" s="11" t="s">
        <v>71</v>
      </c>
      <c r="I102" s="13" t="n">
        <v>308.772</v>
      </c>
      <c r="J102" s="14" t="n">
        <f aca="false">IF(ISNUMBER(I102),G102*I102,"")</f>
        <v>1235.088</v>
      </c>
      <c r="K102" s="11" t="s">
        <v>72</v>
      </c>
      <c r="L102" s="11" t="s">
        <v>32</v>
      </c>
      <c r="M102" s="11" t="s">
        <v>247</v>
      </c>
    </row>
    <row r="103" customFormat="false" ht="23.85" hidden="false" customHeight="false" outlineLevel="0" collapsed="false">
      <c r="A103" s="11" t="n">
        <v>800</v>
      </c>
      <c r="B103" s="11" t="s">
        <v>244</v>
      </c>
      <c r="C103" s="11" t="s">
        <v>245</v>
      </c>
      <c r="D103" s="11" t="s">
        <v>246</v>
      </c>
      <c r="E103" s="11" t="s">
        <v>191</v>
      </c>
      <c r="F103" s="11" t="s">
        <v>192</v>
      </c>
      <c r="G103" s="12" t="n">
        <v>4</v>
      </c>
      <c r="H103" s="11" t="s">
        <v>71</v>
      </c>
      <c r="I103" s="13" t="n">
        <v>88.695</v>
      </c>
      <c r="J103" s="14" t="n">
        <f aca="false">IF(ISNUMBER(I103),G103*I103,"")</f>
        <v>354.78</v>
      </c>
      <c r="K103" s="11" t="s">
        <v>72</v>
      </c>
      <c r="L103" s="11" t="s">
        <v>32</v>
      </c>
      <c r="M103" s="11"/>
    </row>
    <row r="104" customFormat="false" ht="23.85" hidden="false" customHeight="false" outlineLevel="0" collapsed="false">
      <c r="A104" s="11" t="n">
        <v>810</v>
      </c>
      <c r="B104" s="11" t="s">
        <v>244</v>
      </c>
      <c r="C104" s="11" t="s">
        <v>245</v>
      </c>
      <c r="D104" s="11" t="s">
        <v>246</v>
      </c>
      <c r="E104" s="11" t="s">
        <v>193</v>
      </c>
      <c r="F104" s="11" t="s">
        <v>194</v>
      </c>
      <c r="G104" s="12" t="n">
        <v>8</v>
      </c>
      <c r="H104" s="11" t="s">
        <v>71</v>
      </c>
      <c r="I104" s="13" t="n">
        <v>18</v>
      </c>
      <c r="J104" s="14" t="n">
        <f aca="false">IF(ISNUMBER(I104),G104*I104,"")</f>
        <v>144</v>
      </c>
      <c r="K104" s="11" t="s">
        <v>72</v>
      </c>
      <c r="L104" s="11" t="s">
        <v>32</v>
      </c>
      <c r="M104" s="11"/>
    </row>
    <row r="105" customFormat="false" ht="23.85" hidden="false" customHeight="false" outlineLevel="0" collapsed="false">
      <c r="A105" s="11" t="n">
        <v>820</v>
      </c>
      <c r="B105" s="11" t="s">
        <v>244</v>
      </c>
      <c r="C105" s="11" t="s">
        <v>245</v>
      </c>
      <c r="D105" s="11" t="s">
        <v>246</v>
      </c>
      <c r="E105" s="11" t="s">
        <v>196</v>
      </c>
      <c r="F105" s="11" t="s">
        <v>197</v>
      </c>
      <c r="G105" s="12" t="n">
        <v>12</v>
      </c>
      <c r="H105" s="11" t="s">
        <v>71</v>
      </c>
      <c r="I105" s="13" t="n">
        <v>122.2884</v>
      </c>
      <c r="J105" s="14" t="n">
        <f aca="false">IF(ISNUMBER(I105),G105*I105,"")</f>
        <v>1467.4608</v>
      </c>
      <c r="K105" s="11" t="s">
        <v>72</v>
      </c>
      <c r="L105" s="11" t="s">
        <v>32</v>
      </c>
      <c r="M105" s="11" t="s">
        <v>248</v>
      </c>
    </row>
    <row r="106" customFormat="false" ht="23.85" hidden="false" customHeight="false" outlineLevel="0" collapsed="false">
      <c r="A106" s="11" t="n">
        <v>830</v>
      </c>
      <c r="B106" s="11" t="s">
        <v>244</v>
      </c>
      <c r="C106" s="11" t="s">
        <v>245</v>
      </c>
      <c r="D106" s="11" t="s">
        <v>246</v>
      </c>
      <c r="E106" s="11" t="s">
        <v>199</v>
      </c>
      <c r="F106" s="11" t="s">
        <v>200</v>
      </c>
      <c r="G106" s="12" t="n">
        <v>12</v>
      </c>
      <c r="H106" s="11" t="s">
        <v>71</v>
      </c>
      <c r="I106" s="13" t="n">
        <v>63</v>
      </c>
      <c r="J106" s="14" t="n">
        <f aca="false">IF(ISNUMBER(I106),G106*I106,"")</f>
        <v>756</v>
      </c>
      <c r="K106" s="11" t="s">
        <v>72</v>
      </c>
      <c r="L106" s="11" t="s">
        <v>32</v>
      </c>
      <c r="M106" s="11"/>
    </row>
    <row r="107" customFormat="false" ht="23.85" hidden="false" customHeight="false" outlineLevel="0" collapsed="false">
      <c r="A107" s="11" t="n">
        <v>840</v>
      </c>
      <c r="B107" s="11" t="s">
        <v>244</v>
      </c>
      <c r="C107" s="11" t="s">
        <v>245</v>
      </c>
      <c r="D107" s="11" t="s">
        <v>246</v>
      </c>
      <c r="E107" s="11" t="s">
        <v>202</v>
      </c>
      <c r="F107" s="11" t="s">
        <v>203</v>
      </c>
      <c r="G107" s="12" t="n">
        <v>4</v>
      </c>
      <c r="H107" s="11" t="s">
        <v>71</v>
      </c>
      <c r="I107" s="13" t="n">
        <v>137.268</v>
      </c>
      <c r="J107" s="14" t="n">
        <f aca="false">IF(ISNUMBER(I107),G107*I107,"")</f>
        <v>549.072</v>
      </c>
      <c r="K107" s="11" t="s">
        <v>72</v>
      </c>
      <c r="L107" s="11" t="s">
        <v>32</v>
      </c>
      <c r="M107" s="11" t="s">
        <v>249</v>
      </c>
    </row>
    <row r="108" customFormat="false" ht="23.85" hidden="false" customHeight="false" outlineLevel="0" collapsed="false">
      <c r="A108" s="11" t="n">
        <v>850</v>
      </c>
      <c r="B108" s="11" t="s">
        <v>244</v>
      </c>
      <c r="C108" s="11" t="s">
        <v>245</v>
      </c>
      <c r="D108" s="11" t="s">
        <v>246</v>
      </c>
      <c r="E108" s="11" t="s">
        <v>205</v>
      </c>
      <c r="F108" s="11" t="s">
        <v>206</v>
      </c>
      <c r="G108" s="12" t="n">
        <v>4</v>
      </c>
      <c r="H108" s="11" t="s">
        <v>71</v>
      </c>
      <c r="I108" s="13" t="n">
        <v>58</v>
      </c>
      <c r="J108" s="14" t="n">
        <f aca="false">IF(ISNUMBER(I108),G108*I108,"")</f>
        <v>232</v>
      </c>
      <c r="K108" s="11" t="s">
        <v>72</v>
      </c>
      <c r="L108" s="11" t="s">
        <v>32</v>
      </c>
      <c r="M108" s="11"/>
    </row>
    <row r="109" customFormat="false" ht="23.85" hidden="false" customHeight="false" outlineLevel="0" collapsed="false">
      <c r="A109" s="11" t="n">
        <v>860</v>
      </c>
      <c r="B109" s="11" t="s">
        <v>244</v>
      </c>
      <c r="C109" s="11" t="s">
        <v>245</v>
      </c>
      <c r="D109" s="11" t="s">
        <v>246</v>
      </c>
      <c r="E109" s="11" t="s">
        <v>209</v>
      </c>
      <c r="F109" s="11" t="s">
        <v>250</v>
      </c>
      <c r="G109" s="12" t="n">
        <v>4</v>
      </c>
      <c r="H109" s="11" t="s">
        <v>71</v>
      </c>
      <c r="I109" s="13" t="n">
        <v>800</v>
      </c>
      <c r="J109" s="14" t="n">
        <f aca="false">IF(ISNUMBER(I109),G109*I109,"")</f>
        <v>3200</v>
      </c>
      <c r="K109" s="11" t="s">
        <v>72</v>
      </c>
      <c r="L109" s="11" t="s">
        <v>32</v>
      </c>
      <c r="M109" s="11" t="s">
        <v>251</v>
      </c>
    </row>
    <row r="110" customFormat="false" ht="23.85" hidden="false" customHeight="false" outlineLevel="0" collapsed="false">
      <c r="A110" s="11" t="n">
        <v>870</v>
      </c>
      <c r="B110" s="11" t="s">
        <v>244</v>
      </c>
      <c r="C110" s="11" t="s">
        <v>245</v>
      </c>
      <c r="D110" s="11" t="s">
        <v>246</v>
      </c>
      <c r="E110" s="11" t="s">
        <v>212</v>
      </c>
      <c r="F110" s="11" t="s">
        <v>213</v>
      </c>
      <c r="G110" s="12" t="n">
        <v>4</v>
      </c>
      <c r="H110" s="11" t="s">
        <v>71</v>
      </c>
      <c r="I110" s="13" t="n">
        <v>40</v>
      </c>
      <c r="J110" s="14" t="n">
        <f aca="false">IF(ISNUMBER(I110),G110*I110,"")</f>
        <v>160</v>
      </c>
      <c r="K110" s="11" t="s">
        <v>72</v>
      </c>
      <c r="L110" s="11" t="s">
        <v>32</v>
      </c>
      <c r="M110" s="11"/>
    </row>
    <row r="111" customFormat="false" ht="23.85" hidden="false" customHeight="false" outlineLevel="0" collapsed="false">
      <c r="A111" s="11" t="n">
        <v>880</v>
      </c>
      <c r="B111" s="11" t="s">
        <v>244</v>
      </c>
      <c r="C111" s="11" t="s">
        <v>245</v>
      </c>
      <c r="D111" s="11" t="s">
        <v>252</v>
      </c>
      <c r="E111" s="11" t="s">
        <v>215</v>
      </c>
      <c r="F111" s="11" t="s">
        <v>216</v>
      </c>
      <c r="G111" s="12" t="n">
        <v>4</v>
      </c>
      <c r="H111" s="11" t="s">
        <v>71</v>
      </c>
      <c r="I111" s="13" t="n">
        <v>1106</v>
      </c>
      <c r="J111" s="14" t="n">
        <f aca="false">IF(ISNUMBER(I111),G111*I111,"")</f>
        <v>4424</v>
      </c>
      <c r="K111" s="11" t="s">
        <v>72</v>
      </c>
      <c r="L111" s="11" t="s">
        <v>32</v>
      </c>
      <c r="M111" s="11"/>
    </row>
    <row r="112" customFormat="false" ht="23.85" hidden="false" customHeight="false" outlineLevel="0" collapsed="false">
      <c r="A112" s="11" t="n">
        <v>890</v>
      </c>
      <c r="B112" s="11" t="s">
        <v>244</v>
      </c>
      <c r="C112" s="11" t="s">
        <v>245</v>
      </c>
      <c r="D112" s="11" t="s">
        <v>252</v>
      </c>
      <c r="E112" s="11" t="s">
        <v>217</v>
      </c>
      <c r="F112" s="11" t="s">
        <v>218</v>
      </c>
      <c r="G112" s="12" t="n">
        <v>4</v>
      </c>
      <c r="H112" s="11" t="s">
        <v>71</v>
      </c>
      <c r="I112" s="13" t="n">
        <v>99</v>
      </c>
      <c r="J112" s="14" t="n">
        <f aca="false">IF(ISNUMBER(I112),G112*I112,"")</f>
        <v>396</v>
      </c>
      <c r="K112" s="11" t="s">
        <v>72</v>
      </c>
      <c r="L112" s="11" t="s">
        <v>32</v>
      </c>
      <c r="M112" s="11"/>
    </row>
    <row r="113" customFormat="false" ht="23.85" hidden="false" customHeight="false" outlineLevel="0" collapsed="false">
      <c r="A113" s="11" t="n">
        <v>900</v>
      </c>
      <c r="B113" s="11" t="s">
        <v>244</v>
      </c>
      <c r="C113" s="11" t="s">
        <v>245</v>
      </c>
      <c r="D113" s="11" t="s">
        <v>252</v>
      </c>
      <c r="E113" s="11" t="s">
        <v>219</v>
      </c>
      <c r="F113" s="11" t="s">
        <v>220</v>
      </c>
      <c r="G113" s="12" t="n">
        <v>4</v>
      </c>
      <c r="H113" s="11" t="s">
        <v>71</v>
      </c>
      <c r="I113" s="13" t="n">
        <v>230</v>
      </c>
      <c r="J113" s="14" t="n">
        <f aca="false">IF(ISNUMBER(I113),G113*I113,"")</f>
        <v>920</v>
      </c>
      <c r="K113" s="11" t="s">
        <v>72</v>
      </c>
      <c r="L113" s="11" t="s">
        <v>32</v>
      </c>
      <c r="M113" s="11"/>
    </row>
    <row r="114" customFormat="false" ht="23.85" hidden="false" customHeight="false" outlineLevel="0" collapsed="false">
      <c r="A114" s="11" t="n">
        <v>910</v>
      </c>
      <c r="B114" s="11" t="s">
        <v>244</v>
      </c>
      <c r="C114" s="11" t="s">
        <v>245</v>
      </c>
      <c r="D114" s="11" t="s">
        <v>253</v>
      </c>
      <c r="E114" s="11" t="s">
        <v>222</v>
      </c>
      <c r="F114" s="11" t="s">
        <v>223</v>
      </c>
      <c r="G114" s="12" t="n">
        <v>1</v>
      </c>
      <c r="H114" s="11" t="s">
        <v>71</v>
      </c>
      <c r="I114" s="15"/>
      <c r="J114" s="14" t="str">
        <f aca="false">IF(ISNUMBER(I114),G114*I114,"")</f>
        <v/>
      </c>
      <c r="K114" s="11" t="s">
        <v>183</v>
      </c>
      <c r="L114" s="11" t="s">
        <v>32</v>
      </c>
      <c r="M114" s="11" t="s">
        <v>254</v>
      </c>
    </row>
    <row r="115" customFormat="false" ht="23.85" hidden="false" customHeight="false" outlineLevel="0" collapsed="false">
      <c r="A115" s="11" t="n">
        <v>920</v>
      </c>
      <c r="B115" s="11" t="s">
        <v>244</v>
      </c>
      <c r="C115" s="11" t="s">
        <v>245</v>
      </c>
      <c r="D115" s="11" t="s">
        <v>255</v>
      </c>
      <c r="E115" s="11" t="s">
        <v>171</v>
      </c>
      <c r="F115" s="11" t="s">
        <v>226</v>
      </c>
      <c r="G115" s="12" t="n">
        <v>1</v>
      </c>
      <c r="H115" s="11" t="s">
        <v>71</v>
      </c>
      <c r="I115" s="15"/>
      <c r="J115" s="14" t="str">
        <f aca="false">IF(ISNUMBER(I115),G115*I115,"")</f>
        <v/>
      </c>
      <c r="K115" s="11" t="s">
        <v>106</v>
      </c>
      <c r="L115" s="11" t="s">
        <v>36</v>
      </c>
      <c r="M115" s="11"/>
    </row>
    <row r="116" customFormat="false" ht="23.85" hidden="false" customHeight="false" outlineLevel="0" collapsed="false">
      <c r="A116" s="11" t="n">
        <v>930</v>
      </c>
      <c r="B116" s="11" t="s">
        <v>244</v>
      </c>
      <c r="C116" s="11" t="s">
        <v>245</v>
      </c>
      <c r="D116" s="11" t="s">
        <v>256</v>
      </c>
      <c r="E116" s="11" t="s">
        <v>228</v>
      </c>
      <c r="F116" s="11" t="s">
        <v>229</v>
      </c>
      <c r="G116" s="12" t="n">
        <v>2</v>
      </c>
      <c r="H116" s="11" t="s">
        <v>71</v>
      </c>
      <c r="I116" s="15"/>
      <c r="J116" s="14" t="str">
        <f aca="false">IF(ISNUMBER(I116),G116*I116,"")</f>
        <v/>
      </c>
      <c r="K116" s="11" t="s">
        <v>140</v>
      </c>
      <c r="L116" s="11" t="s">
        <v>36</v>
      </c>
      <c r="M116" s="11" t="s">
        <v>257</v>
      </c>
    </row>
    <row r="117" customFormat="false" ht="23.85" hidden="false" customHeight="false" outlineLevel="0" collapsed="false">
      <c r="A117" s="11" t="n">
        <v>940</v>
      </c>
      <c r="B117" s="11" t="s">
        <v>244</v>
      </c>
      <c r="C117" s="11" t="s">
        <v>245</v>
      </c>
      <c r="D117" s="11" t="s">
        <v>256</v>
      </c>
      <c r="E117" s="11" t="s">
        <v>230</v>
      </c>
      <c r="F117" s="11" t="s">
        <v>231</v>
      </c>
      <c r="G117" s="12" t="n">
        <v>2</v>
      </c>
      <c r="H117" s="11" t="s">
        <v>71</v>
      </c>
      <c r="I117" s="15"/>
      <c r="J117" s="14" t="str">
        <f aca="false">IF(ISNUMBER(I117),G117*I117,"")</f>
        <v/>
      </c>
      <c r="K117" s="11" t="s">
        <v>140</v>
      </c>
      <c r="L117" s="11" t="s">
        <v>34</v>
      </c>
      <c r="M117" s="11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7" t="s">
        <v>258</v>
      </c>
      <c r="G118" s="16"/>
      <c r="H118" s="16"/>
      <c r="I118" s="16"/>
      <c r="J118" s="18" t="n">
        <f aca="false">SUBTOTAL(9,J102:J117)</f>
        <v>13838.4008</v>
      </c>
      <c r="K118" s="16"/>
      <c r="L118" s="19" t="str">
        <f aca="false">COUNTIFS(B102:B117,"F",I102:I117,"")&amp;" lines RFQ"</f>
        <v>4 lines RFQ</v>
      </c>
      <c r="M118" s="16"/>
    </row>
    <row r="120" customFormat="false" ht="15" hidden="false" customHeight="false" outlineLevel="0" collapsed="false">
      <c r="A120" s="9"/>
      <c r="B120" s="10" t="s">
        <v>259</v>
      </c>
      <c r="C120" s="10" t="s">
        <v>260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customFormat="false" ht="15" hidden="false" customHeight="false" outlineLevel="0" collapsed="false">
      <c r="A121" s="11" t="n">
        <v>950</v>
      </c>
      <c r="B121" s="11" t="s">
        <v>259</v>
      </c>
      <c r="C121" s="11" t="s">
        <v>260</v>
      </c>
      <c r="D121" s="11" t="s">
        <v>261</v>
      </c>
      <c r="E121" s="11" t="s">
        <v>222</v>
      </c>
      <c r="F121" s="11" t="s">
        <v>223</v>
      </c>
      <c r="G121" s="12" t="n">
        <v>1</v>
      </c>
      <c r="H121" s="11" t="s">
        <v>71</v>
      </c>
      <c r="I121" s="15"/>
      <c r="J121" s="14" t="str">
        <f aca="false">IF(ISNUMBER(I121),G121*I121,"")</f>
        <v/>
      </c>
      <c r="K121" s="11" t="s">
        <v>183</v>
      </c>
      <c r="L121" s="11" t="s">
        <v>32</v>
      </c>
      <c r="M121" s="11" t="s">
        <v>262</v>
      </c>
    </row>
    <row r="122" customFormat="false" ht="15" hidden="false" customHeight="false" outlineLevel="0" collapsed="false">
      <c r="A122" s="11" t="n">
        <v>960</v>
      </c>
      <c r="B122" s="11" t="s">
        <v>259</v>
      </c>
      <c r="C122" s="11" t="s">
        <v>260</v>
      </c>
      <c r="D122" s="11" t="s">
        <v>263</v>
      </c>
      <c r="E122" s="11" t="s">
        <v>171</v>
      </c>
      <c r="F122" s="11" t="s">
        <v>226</v>
      </c>
      <c r="G122" s="12" t="n">
        <v>1</v>
      </c>
      <c r="H122" s="11" t="s">
        <v>71</v>
      </c>
      <c r="I122" s="15"/>
      <c r="J122" s="14" t="str">
        <f aca="false">IF(ISNUMBER(I122),G122*I122,"")</f>
        <v/>
      </c>
      <c r="K122" s="11" t="s">
        <v>106</v>
      </c>
      <c r="L122" s="11" t="s">
        <v>36</v>
      </c>
      <c r="M122" s="11" t="s">
        <v>264</v>
      </c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7" t="s">
        <v>265</v>
      </c>
      <c r="G123" s="16"/>
      <c r="H123" s="16"/>
      <c r="I123" s="16"/>
      <c r="J123" s="18" t="n">
        <f aca="false">SUBTOTAL(9,J121:J122)</f>
        <v>0</v>
      </c>
      <c r="K123" s="16"/>
      <c r="L123" s="19" t="str">
        <f aca="false">COUNTIFS(B121:B122,"G",I121:I122,"")&amp;" lines RFQ"</f>
        <v>2 lines RFQ</v>
      </c>
      <c r="M123" s="16"/>
    </row>
    <row r="125" customFormat="false" ht="15" hidden="false" customHeight="false" outlineLevel="0" collapsed="false">
      <c r="A125" s="9"/>
      <c r="B125" s="10" t="s">
        <v>266</v>
      </c>
      <c r="C125" s="10" t="s">
        <v>267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customFormat="false" ht="15" hidden="false" customHeight="false" outlineLevel="0" collapsed="false">
      <c r="A126" s="11" t="n">
        <v>970</v>
      </c>
      <c r="B126" s="11" t="s">
        <v>266</v>
      </c>
      <c r="C126" s="11" t="s">
        <v>267</v>
      </c>
      <c r="D126" s="11" t="s">
        <v>268</v>
      </c>
      <c r="E126" s="11" t="s">
        <v>222</v>
      </c>
      <c r="F126" s="11" t="s">
        <v>223</v>
      </c>
      <c r="G126" s="12" t="n">
        <v>1</v>
      </c>
      <c r="H126" s="11" t="s">
        <v>71</v>
      </c>
      <c r="I126" s="15"/>
      <c r="J126" s="14" t="str">
        <f aca="false">IF(ISNUMBER(I126),G126*I126,"")</f>
        <v/>
      </c>
      <c r="K126" s="11" t="s">
        <v>183</v>
      </c>
      <c r="L126" s="11" t="s">
        <v>32</v>
      </c>
      <c r="M126" s="11" t="s">
        <v>269</v>
      </c>
    </row>
    <row r="127" customFormat="false" ht="15" hidden="false" customHeight="false" outlineLevel="0" collapsed="false">
      <c r="A127" s="11" t="n">
        <v>980</v>
      </c>
      <c r="B127" s="11" t="s">
        <v>266</v>
      </c>
      <c r="C127" s="11" t="s">
        <v>267</v>
      </c>
      <c r="D127" s="11" t="s">
        <v>270</v>
      </c>
      <c r="E127" s="11" t="s">
        <v>171</v>
      </c>
      <c r="F127" s="11" t="s">
        <v>226</v>
      </c>
      <c r="G127" s="12" t="n">
        <v>1</v>
      </c>
      <c r="H127" s="11" t="s">
        <v>71</v>
      </c>
      <c r="I127" s="15"/>
      <c r="J127" s="14" t="str">
        <f aca="false">IF(ISNUMBER(I127),G127*I127,"")</f>
        <v/>
      </c>
      <c r="K127" s="11" t="s">
        <v>106</v>
      </c>
      <c r="L127" s="11" t="s">
        <v>36</v>
      </c>
      <c r="M127" s="11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7" t="s">
        <v>271</v>
      </c>
      <c r="G128" s="16"/>
      <c r="H128" s="16"/>
      <c r="I128" s="16"/>
      <c r="J128" s="18" t="n">
        <f aca="false">SUBTOTAL(9,J126:J127)</f>
        <v>0</v>
      </c>
      <c r="K128" s="16"/>
      <c r="L128" s="19" t="str">
        <f aca="false">COUNTIFS(B126:B127,"H",I126:I127,"")&amp;" lines RFQ"</f>
        <v>2 lines RFQ</v>
      </c>
      <c r="M128" s="16"/>
    </row>
    <row r="130" customFormat="false" ht="15" hidden="false" customHeight="false" outlineLevel="0" collapsed="false">
      <c r="A130" s="9"/>
      <c r="B130" s="10" t="s">
        <v>272</v>
      </c>
      <c r="C130" s="10" t="s">
        <v>273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customFormat="false" ht="23.85" hidden="false" customHeight="false" outlineLevel="0" collapsed="false">
      <c r="A131" s="11" t="n">
        <v>990</v>
      </c>
      <c r="B131" s="11" t="s">
        <v>272</v>
      </c>
      <c r="C131" s="11" t="s">
        <v>273</v>
      </c>
      <c r="D131" s="11" t="s">
        <v>274</v>
      </c>
      <c r="E131" s="11" t="s">
        <v>275</v>
      </c>
      <c r="F131" s="11" t="s">
        <v>276</v>
      </c>
      <c r="G131" s="12" t="n">
        <v>1500</v>
      </c>
      <c r="H131" s="11" t="s">
        <v>277</v>
      </c>
      <c r="I131" s="15"/>
      <c r="J131" s="14" t="str">
        <f aca="false">IF(ISNUMBER(I131),G131*I131,"")</f>
        <v/>
      </c>
      <c r="K131" s="11" t="s">
        <v>106</v>
      </c>
      <c r="L131" s="11" t="s">
        <v>36</v>
      </c>
      <c r="M131" s="11" t="s">
        <v>278</v>
      </c>
    </row>
    <row r="132" customFormat="false" ht="23.85" hidden="false" customHeight="false" outlineLevel="0" collapsed="false">
      <c r="A132" s="11" t="n">
        <v>1000</v>
      </c>
      <c r="B132" s="11" t="s">
        <v>272</v>
      </c>
      <c r="C132" s="11" t="s">
        <v>273</v>
      </c>
      <c r="D132" s="11" t="s">
        <v>274</v>
      </c>
      <c r="E132" s="11" t="s">
        <v>279</v>
      </c>
      <c r="F132" s="11" t="s">
        <v>280</v>
      </c>
      <c r="G132" s="12" t="n">
        <v>6</v>
      </c>
      <c r="H132" s="11" t="s">
        <v>71</v>
      </c>
      <c r="I132" s="15"/>
      <c r="J132" s="14" t="str">
        <f aca="false">IF(ISNUMBER(I132),G132*I132,"")</f>
        <v/>
      </c>
      <c r="K132" s="11" t="s">
        <v>106</v>
      </c>
      <c r="L132" s="11" t="s">
        <v>36</v>
      </c>
      <c r="M132" s="11" t="s">
        <v>281</v>
      </c>
    </row>
    <row r="133" customFormat="false" ht="23.85" hidden="false" customHeight="false" outlineLevel="0" collapsed="false">
      <c r="A133" s="11" t="n">
        <v>1010</v>
      </c>
      <c r="B133" s="11" t="s">
        <v>272</v>
      </c>
      <c r="C133" s="11" t="s">
        <v>273</v>
      </c>
      <c r="D133" s="11" t="s">
        <v>274</v>
      </c>
      <c r="E133" s="11" t="s">
        <v>282</v>
      </c>
      <c r="F133" s="11" t="s">
        <v>283</v>
      </c>
      <c r="G133" s="12" t="n">
        <v>12</v>
      </c>
      <c r="H133" s="11" t="s">
        <v>71</v>
      </c>
      <c r="I133" s="15"/>
      <c r="J133" s="14" t="str">
        <f aca="false">IF(ISNUMBER(I133),G133*I133,"")</f>
        <v/>
      </c>
      <c r="K133" s="11" t="s">
        <v>106</v>
      </c>
      <c r="L133" s="11" t="s">
        <v>36</v>
      </c>
      <c r="M133" s="11"/>
    </row>
    <row r="134" customFormat="false" ht="23.85" hidden="false" customHeight="false" outlineLevel="0" collapsed="false">
      <c r="A134" s="11" t="n">
        <v>1020</v>
      </c>
      <c r="B134" s="11" t="s">
        <v>272</v>
      </c>
      <c r="C134" s="11" t="s">
        <v>273</v>
      </c>
      <c r="D134" s="11" t="s">
        <v>284</v>
      </c>
      <c r="E134" s="11" t="s">
        <v>285</v>
      </c>
      <c r="F134" s="11" t="s">
        <v>286</v>
      </c>
      <c r="G134" s="12" t="n">
        <v>500</v>
      </c>
      <c r="H134" s="11" t="s">
        <v>277</v>
      </c>
      <c r="I134" s="15"/>
      <c r="J134" s="14" t="str">
        <f aca="false">IF(ISNUMBER(I134),G134*I134,"")</f>
        <v/>
      </c>
      <c r="K134" s="11" t="s">
        <v>106</v>
      </c>
      <c r="L134" s="11" t="s">
        <v>36</v>
      </c>
      <c r="M134" s="11" t="s">
        <v>287</v>
      </c>
    </row>
    <row r="135" customFormat="false" ht="23.85" hidden="false" customHeight="false" outlineLevel="0" collapsed="false">
      <c r="A135" s="11" t="n">
        <v>1030</v>
      </c>
      <c r="B135" s="11" t="s">
        <v>272</v>
      </c>
      <c r="C135" s="11" t="s">
        <v>273</v>
      </c>
      <c r="D135" s="11" t="s">
        <v>284</v>
      </c>
      <c r="E135" s="11" t="s">
        <v>288</v>
      </c>
      <c r="F135" s="11" t="s">
        <v>289</v>
      </c>
      <c r="G135" s="12" t="n">
        <v>100</v>
      </c>
      <c r="H135" s="11" t="s">
        <v>71</v>
      </c>
      <c r="I135" s="15"/>
      <c r="J135" s="14" t="str">
        <f aca="false">IF(ISNUMBER(I135),G135*I135,"")</f>
        <v/>
      </c>
      <c r="K135" s="11" t="s">
        <v>106</v>
      </c>
      <c r="L135" s="11" t="s">
        <v>36</v>
      </c>
      <c r="M135" s="11"/>
    </row>
    <row r="136" customFormat="false" ht="23.85" hidden="false" customHeight="false" outlineLevel="0" collapsed="false">
      <c r="A136" s="11" t="n">
        <v>1040</v>
      </c>
      <c r="B136" s="11" t="s">
        <v>272</v>
      </c>
      <c r="C136" s="11" t="s">
        <v>273</v>
      </c>
      <c r="D136" s="11" t="s">
        <v>290</v>
      </c>
      <c r="E136" s="11" t="s">
        <v>291</v>
      </c>
      <c r="F136" s="11" t="s">
        <v>292</v>
      </c>
      <c r="G136" s="12" t="n">
        <v>600</v>
      </c>
      <c r="H136" s="11" t="s">
        <v>277</v>
      </c>
      <c r="I136" s="15"/>
      <c r="J136" s="14" t="str">
        <f aca="false">IF(ISNUMBER(I136),G136*I136,"")</f>
        <v/>
      </c>
      <c r="K136" s="11" t="s">
        <v>106</v>
      </c>
      <c r="L136" s="11" t="s">
        <v>36</v>
      </c>
      <c r="M136" s="11" t="s">
        <v>293</v>
      </c>
    </row>
    <row r="137" customFormat="false" ht="23.85" hidden="false" customHeight="false" outlineLevel="0" collapsed="false">
      <c r="A137" s="11" t="n">
        <v>1050</v>
      </c>
      <c r="B137" s="11" t="s">
        <v>272</v>
      </c>
      <c r="C137" s="11" t="s">
        <v>273</v>
      </c>
      <c r="D137" s="11" t="s">
        <v>294</v>
      </c>
      <c r="E137" s="11" t="s">
        <v>295</v>
      </c>
      <c r="F137" s="11" t="s">
        <v>296</v>
      </c>
      <c r="G137" s="12" t="n">
        <v>1</v>
      </c>
      <c r="H137" s="11" t="s">
        <v>114</v>
      </c>
      <c r="I137" s="15"/>
      <c r="J137" s="14" t="str">
        <f aca="false">IF(ISNUMBER(I137),G137*I137,"")</f>
        <v/>
      </c>
      <c r="K137" s="11" t="s">
        <v>83</v>
      </c>
      <c r="L137" s="11" t="s">
        <v>36</v>
      </c>
      <c r="M137" s="11" t="s">
        <v>297</v>
      </c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7" t="s">
        <v>298</v>
      </c>
      <c r="G138" s="16"/>
      <c r="H138" s="16"/>
      <c r="I138" s="16"/>
      <c r="J138" s="18" t="n">
        <f aca="false">SUBTOTAL(9,J131:J137)</f>
        <v>0</v>
      </c>
      <c r="K138" s="16"/>
      <c r="L138" s="19" t="str">
        <f aca="false">COUNTIFS(B131:B137,"J",I131:I137,"")&amp;" lines RFQ"</f>
        <v>7 lines RFQ</v>
      </c>
      <c r="M138" s="16"/>
    </row>
    <row r="140" customFormat="false" ht="15" hidden="false" customHeight="false" outlineLevel="0" collapsed="false">
      <c r="A140" s="9"/>
      <c r="B140" s="10" t="s">
        <v>299</v>
      </c>
      <c r="C140" s="10" t="s">
        <v>300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customFormat="false" ht="35.05" hidden="false" customHeight="false" outlineLevel="0" collapsed="false">
      <c r="A141" s="11" t="n">
        <v>1060</v>
      </c>
      <c r="B141" s="11" t="s">
        <v>299</v>
      </c>
      <c r="C141" s="11" t="s">
        <v>300</v>
      </c>
      <c r="D141" s="11" t="s">
        <v>301</v>
      </c>
      <c r="E141" s="11" t="s">
        <v>302</v>
      </c>
      <c r="F141" s="11" t="s">
        <v>303</v>
      </c>
      <c r="G141" s="12" t="n">
        <v>4</v>
      </c>
      <c r="H141" s="11" t="s">
        <v>71</v>
      </c>
      <c r="I141" s="13" t="n">
        <v>0</v>
      </c>
      <c r="J141" s="14" t="n">
        <f aca="false">IF(ISNUMBER(I141),G141*I141,"")</f>
        <v>0</v>
      </c>
      <c r="K141" s="11" t="s">
        <v>304</v>
      </c>
      <c r="L141" s="11" t="s">
        <v>38</v>
      </c>
      <c r="M141" s="11" t="s">
        <v>305</v>
      </c>
    </row>
    <row r="142" customFormat="false" ht="35.05" hidden="false" customHeight="false" outlineLevel="0" collapsed="false">
      <c r="A142" s="11" t="n">
        <v>1070</v>
      </c>
      <c r="B142" s="11" t="s">
        <v>299</v>
      </c>
      <c r="C142" s="11" t="s">
        <v>300</v>
      </c>
      <c r="D142" s="11" t="s">
        <v>306</v>
      </c>
      <c r="E142" s="11" t="s">
        <v>307</v>
      </c>
      <c r="F142" s="11" t="s">
        <v>308</v>
      </c>
      <c r="G142" s="12" t="n">
        <v>1</v>
      </c>
      <c r="H142" s="11" t="s">
        <v>114</v>
      </c>
      <c r="I142" s="13" t="n">
        <v>0</v>
      </c>
      <c r="J142" s="14" t="n">
        <f aca="false">IF(ISNUMBER(I142),G142*I142,"")</f>
        <v>0</v>
      </c>
      <c r="K142" s="11" t="s">
        <v>309</v>
      </c>
      <c r="L142" s="11" t="s">
        <v>38</v>
      </c>
      <c r="M142" s="11" t="s">
        <v>310</v>
      </c>
    </row>
    <row r="143" customFormat="false" ht="35.05" hidden="false" customHeight="false" outlineLevel="0" collapsed="false">
      <c r="A143" s="11" t="n">
        <v>1080</v>
      </c>
      <c r="B143" s="11" t="s">
        <v>299</v>
      </c>
      <c r="C143" s="11" t="s">
        <v>300</v>
      </c>
      <c r="D143" s="11" t="s">
        <v>311</v>
      </c>
      <c r="E143" s="11" t="s">
        <v>312</v>
      </c>
      <c r="F143" s="11" t="s">
        <v>313</v>
      </c>
      <c r="G143" s="12" t="n">
        <v>2</v>
      </c>
      <c r="H143" s="11" t="s">
        <v>71</v>
      </c>
      <c r="I143" s="13" t="n">
        <v>0</v>
      </c>
      <c r="J143" s="14" t="n">
        <f aca="false">IF(ISNUMBER(I143),G143*I143,"")</f>
        <v>0</v>
      </c>
      <c r="K143" s="11" t="s">
        <v>83</v>
      </c>
      <c r="L143" s="11" t="s">
        <v>38</v>
      </c>
      <c r="M143" s="11" t="s">
        <v>314</v>
      </c>
    </row>
    <row r="144" customFormat="false" ht="35.05" hidden="false" customHeight="false" outlineLevel="0" collapsed="false">
      <c r="A144" s="11" t="n">
        <v>1090</v>
      </c>
      <c r="B144" s="11" t="s">
        <v>299</v>
      </c>
      <c r="C144" s="11" t="s">
        <v>300</v>
      </c>
      <c r="D144" s="11" t="s">
        <v>315</v>
      </c>
      <c r="E144" s="11" t="s">
        <v>316</v>
      </c>
      <c r="F144" s="11" t="s">
        <v>317</v>
      </c>
      <c r="G144" s="12" t="n">
        <v>1</v>
      </c>
      <c r="H144" s="11" t="s">
        <v>114</v>
      </c>
      <c r="I144" s="13" t="n">
        <v>0</v>
      </c>
      <c r="J144" s="14" t="n">
        <f aca="false">IF(ISNUMBER(I144),G144*I144,"")</f>
        <v>0</v>
      </c>
      <c r="K144" s="11" t="s">
        <v>304</v>
      </c>
      <c r="L144" s="11" t="s">
        <v>38</v>
      </c>
      <c r="M144" s="11" t="s">
        <v>318</v>
      </c>
    </row>
    <row r="145" customFormat="false" ht="35.05" hidden="false" customHeight="false" outlineLevel="0" collapsed="false">
      <c r="A145" s="11" t="n">
        <v>1100</v>
      </c>
      <c r="B145" s="11" t="s">
        <v>299</v>
      </c>
      <c r="C145" s="11" t="s">
        <v>300</v>
      </c>
      <c r="D145" s="11" t="s">
        <v>319</v>
      </c>
      <c r="E145" s="11" t="s">
        <v>320</v>
      </c>
      <c r="F145" s="11" t="s">
        <v>321</v>
      </c>
      <c r="G145" s="12" t="n">
        <v>2</v>
      </c>
      <c r="H145" s="11" t="s">
        <v>71</v>
      </c>
      <c r="I145" s="13" t="n">
        <v>0</v>
      </c>
      <c r="J145" s="14" t="n">
        <f aca="false">IF(ISNUMBER(I145),G145*I145,"")</f>
        <v>0</v>
      </c>
      <c r="K145" s="11" t="s">
        <v>106</v>
      </c>
      <c r="L145" s="11" t="s">
        <v>38</v>
      </c>
      <c r="M145" s="11" t="s">
        <v>322</v>
      </c>
    </row>
    <row r="146" customFormat="false" ht="35.05" hidden="false" customHeight="false" outlineLevel="0" collapsed="false">
      <c r="A146" s="11" t="n">
        <v>1110</v>
      </c>
      <c r="B146" s="11" t="s">
        <v>299</v>
      </c>
      <c r="C146" s="11" t="s">
        <v>300</v>
      </c>
      <c r="D146" s="11" t="s">
        <v>323</v>
      </c>
      <c r="E146" s="11" t="s">
        <v>324</v>
      </c>
      <c r="F146" s="11" t="s">
        <v>325</v>
      </c>
      <c r="G146" s="12" t="n">
        <v>1</v>
      </c>
      <c r="H146" s="11" t="s">
        <v>71</v>
      </c>
      <c r="I146" s="15"/>
      <c r="J146" s="14" t="str">
        <f aca="false">IF(ISNUMBER(I146),G146*I146,"")</f>
        <v/>
      </c>
      <c r="K146" s="11" t="s">
        <v>106</v>
      </c>
      <c r="L146" s="11" t="s">
        <v>36</v>
      </c>
      <c r="M146" s="11" t="s">
        <v>326</v>
      </c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7" t="s">
        <v>327</v>
      </c>
      <c r="G147" s="16"/>
      <c r="H147" s="16"/>
      <c r="I147" s="16"/>
      <c r="J147" s="18" t="n">
        <f aca="false">SUBTOTAL(9,J141:J146)</f>
        <v>0</v>
      </c>
      <c r="K147" s="16"/>
      <c r="L147" s="19" t="str">
        <f aca="false">COUNTIFS(B141:B146,"K",I141:I146,"")&amp;" lines RFQ"</f>
        <v>1 lines RFQ</v>
      </c>
      <c r="M147" s="16"/>
    </row>
    <row r="149" customFormat="false" ht="15" hidden="false" customHeight="false" outlineLevel="0" collapsed="false">
      <c r="A149" s="9"/>
      <c r="B149" s="10" t="s">
        <v>328</v>
      </c>
      <c r="C149" s="10" t="s">
        <v>329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customFormat="false" ht="15" hidden="false" customHeight="false" outlineLevel="0" collapsed="false">
      <c r="A150" s="11" t="n">
        <v>1120</v>
      </c>
      <c r="B150" s="11" t="s">
        <v>328</v>
      </c>
      <c r="C150" s="11" t="s">
        <v>329</v>
      </c>
      <c r="D150" s="11" t="s">
        <v>330</v>
      </c>
      <c r="E150" s="11" t="s">
        <v>331</v>
      </c>
      <c r="F150" s="11" t="s">
        <v>332</v>
      </c>
      <c r="G150" s="12" t="n">
        <v>1</v>
      </c>
      <c r="H150" s="11" t="s">
        <v>114</v>
      </c>
      <c r="I150" s="13" t="n">
        <v>37567</v>
      </c>
      <c r="J150" s="14" t="n">
        <f aca="false">IF(ISNUMBER(I150),G150*I150,"")</f>
        <v>37567</v>
      </c>
      <c r="K150" s="11" t="s">
        <v>72</v>
      </c>
      <c r="L150" s="11" t="s">
        <v>32</v>
      </c>
      <c r="M150" s="11" t="s">
        <v>333</v>
      </c>
    </row>
    <row r="151" customFormat="false" ht="15" hidden="false" customHeight="false" outlineLevel="0" collapsed="false">
      <c r="A151" s="11" t="n">
        <v>1130</v>
      </c>
      <c r="B151" s="11" t="s">
        <v>328</v>
      </c>
      <c r="C151" s="11" t="s">
        <v>329</v>
      </c>
      <c r="D151" s="11" t="s">
        <v>330</v>
      </c>
      <c r="E151" s="11" t="s">
        <v>334</v>
      </c>
      <c r="F151" s="11" t="s">
        <v>335</v>
      </c>
      <c r="G151" s="12" t="n">
        <v>1</v>
      </c>
      <c r="H151" s="11" t="s">
        <v>114</v>
      </c>
      <c r="I151" s="15"/>
      <c r="J151" s="14" t="str">
        <f aca="false">IF(ISNUMBER(I151),G151*I151,"")</f>
        <v/>
      </c>
      <c r="K151" s="11" t="s">
        <v>106</v>
      </c>
      <c r="L151" s="11" t="s">
        <v>36</v>
      </c>
      <c r="M151" s="11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7" t="s">
        <v>336</v>
      </c>
      <c r="G152" s="16"/>
      <c r="H152" s="16"/>
      <c r="I152" s="16"/>
      <c r="J152" s="18" t="n">
        <f aca="false">SUBTOTAL(9,J150:J151)</f>
        <v>37567</v>
      </c>
      <c r="K152" s="16"/>
      <c r="L152" s="19" t="str">
        <f aca="false">COUNTIFS(B150:B151,"L",I150:I151,"")&amp;" lines RFQ"</f>
        <v>1 lines RFQ</v>
      </c>
      <c r="M152" s="16"/>
    </row>
    <row r="154" customFormat="false" ht="15" hidden="false" customHeight="false" outlineLevel="0" collapsed="false">
      <c r="A154" s="9"/>
      <c r="B154" s="10" t="s">
        <v>337</v>
      </c>
      <c r="C154" s="10" t="s">
        <v>338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customFormat="false" ht="23.85" hidden="false" customHeight="false" outlineLevel="0" collapsed="false">
      <c r="A155" s="11" t="n">
        <v>1140</v>
      </c>
      <c r="B155" s="11" t="s">
        <v>337</v>
      </c>
      <c r="C155" s="11" t="s">
        <v>338</v>
      </c>
      <c r="D155" s="11" t="s">
        <v>339</v>
      </c>
      <c r="E155" s="11" t="s">
        <v>120</v>
      </c>
      <c r="F155" s="11" t="s">
        <v>121</v>
      </c>
      <c r="G155" s="12" t="n">
        <v>1</v>
      </c>
      <c r="H155" s="11" t="s">
        <v>71</v>
      </c>
      <c r="I155" s="13" t="n">
        <v>227.682</v>
      </c>
      <c r="J155" s="14" t="n">
        <f aca="false">IF(ISNUMBER(I155),G155*I155,"")</f>
        <v>227.682</v>
      </c>
      <c r="K155" s="11" t="s">
        <v>72</v>
      </c>
      <c r="L155" s="11" t="s">
        <v>32</v>
      </c>
      <c r="M155" s="11"/>
    </row>
    <row r="156" customFormat="false" ht="23.85" hidden="false" customHeight="false" outlineLevel="0" collapsed="false">
      <c r="A156" s="11" t="n">
        <v>1150</v>
      </c>
      <c r="B156" s="11" t="s">
        <v>337</v>
      </c>
      <c r="C156" s="11" t="s">
        <v>338</v>
      </c>
      <c r="D156" s="11" t="s">
        <v>339</v>
      </c>
      <c r="E156" s="11" t="s">
        <v>122</v>
      </c>
      <c r="F156" s="11" t="s">
        <v>340</v>
      </c>
      <c r="G156" s="12" t="n">
        <v>1</v>
      </c>
      <c r="H156" s="11" t="s">
        <v>71</v>
      </c>
      <c r="I156" s="13" t="n">
        <v>320.0265</v>
      </c>
      <c r="J156" s="14" t="n">
        <f aca="false">IF(ISNUMBER(I156),G156*I156,"")</f>
        <v>320.0265</v>
      </c>
      <c r="K156" s="11" t="s">
        <v>72</v>
      </c>
      <c r="L156" s="11" t="s">
        <v>32</v>
      </c>
      <c r="M156" s="11"/>
    </row>
    <row r="157" customFormat="false" ht="23.85" hidden="false" customHeight="false" outlineLevel="0" collapsed="false">
      <c r="A157" s="11" t="n">
        <v>1160</v>
      </c>
      <c r="B157" s="11" t="s">
        <v>337</v>
      </c>
      <c r="C157" s="11" t="s">
        <v>338</v>
      </c>
      <c r="D157" s="11" t="s">
        <v>339</v>
      </c>
      <c r="E157" s="11" t="s">
        <v>124</v>
      </c>
      <c r="F157" s="11" t="s">
        <v>341</v>
      </c>
      <c r="G157" s="12" t="n">
        <v>1</v>
      </c>
      <c r="H157" s="11" t="s">
        <v>71</v>
      </c>
      <c r="I157" s="13" t="n">
        <v>2337.7635</v>
      </c>
      <c r="J157" s="14" t="n">
        <f aca="false">IF(ISNUMBER(I157),G157*I157,"")</f>
        <v>2337.7635</v>
      </c>
      <c r="K157" s="11" t="s">
        <v>72</v>
      </c>
      <c r="L157" s="11" t="s">
        <v>32</v>
      </c>
      <c r="M157" s="11" t="s">
        <v>342</v>
      </c>
    </row>
    <row r="158" customFormat="false" ht="23.85" hidden="false" customHeight="false" outlineLevel="0" collapsed="false">
      <c r="A158" s="11" t="n">
        <v>1170</v>
      </c>
      <c r="B158" s="11" t="s">
        <v>337</v>
      </c>
      <c r="C158" s="11" t="s">
        <v>338</v>
      </c>
      <c r="D158" s="11" t="s">
        <v>339</v>
      </c>
      <c r="E158" s="11" t="s">
        <v>127</v>
      </c>
      <c r="F158" s="11" t="s">
        <v>343</v>
      </c>
      <c r="G158" s="12" t="n">
        <v>1</v>
      </c>
      <c r="H158" s="11" t="s">
        <v>71</v>
      </c>
      <c r="I158" s="13" t="n">
        <v>887.94</v>
      </c>
      <c r="J158" s="14" t="n">
        <f aca="false">IF(ISNUMBER(I158),G158*I158,"")</f>
        <v>887.94</v>
      </c>
      <c r="K158" s="11" t="s">
        <v>72</v>
      </c>
      <c r="L158" s="11" t="s">
        <v>32</v>
      </c>
      <c r="M158" s="11"/>
    </row>
    <row r="159" customFormat="false" ht="23.85" hidden="false" customHeight="false" outlineLevel="0" collapsed="false">
      <c r="A159" s="11" t="n">
        <v>1180</v>
      </c>
      <c r="B159" s="11" t="s">
        <v>337</v>
      </c>
      <c r="C159" s="11" t="s">
        <v>338</v>
      </c>
      <c r="D159" s="11" t="s">
        <v>339</v>
      </c>
      <c r="E159" s="11" t="s">
        <v>132</v>
      </c>
      <c r="F159" s="11" t="s">
        <v>344</v>
      </c>
      <c r="G159" s="12" t="n">
        <v>1</v>
      </c>
      <c r="H159" s="11" t="s">
        <v>71</v>
      </c>
      <c r="I159" s="13" t="n">
        <v>212.1705</v>
      </c>
      <c r="J159" s="14" t="n">
        <f aca="false">IF(ISNUMBER(I159),G159*I159,"")</f>
        <v>212.1705</v>
      </c>
      <c r="K159" s="11" t="s">
        <v>72</v>
      </c>
      <c r="L159" s="11" t="s">
        <v>32</v>
      </c>
      <c r="M159" s="11"/>
    </row>
    <row r="160" customFormat="false" ht="23.85" hidden="false" customHeight="false" outlineLevel="0" collapsed="false">
      <c r="A160" s="11" t="n">
        <v>1190</v>
      </c>
      <c r="B160" s="11" t="s">
        <v>337</v>
      </c>
      <c r="C160" s="11" t="s">
        <v>338</v>
      </c>
      <c r="D160" s="11" t="s">
        <v>339</v>
      </c>
      <c r="E160" s="11" t="s">
        <v>134</v>
      </c>
      <c r="F160" s="11" t="s">
        <v>345</v>
      </c>
      <c r="G160" s="12" t="n">
        <v>1</v>
      </c>
      <c r="H160" s="11" t="s">
        <v>71</v>
      </c>
      <c r="I160" s="13" t="n">
        <v>250.218</v>
      </c>
      <c r="J160" s="14" t="n">
        <f aca="false">IF(ISNUMBER(I160),G160*I160,"")</f>
        <v>250.218</v>
      </c>
      <c r="K160" s="11" t="s">
        <v>72</v>
      </c>
      <c r="L160" s="11" t="s">
        <v>32</v>
      </c>
      <c r="M160" s="11"/>
    </row>
    <row r="161" customFormat="false" ht="23.85" hidden="false" customHeight="false" outlineLevel="0" collapsed="false">
      <c r="A161" s="11" t="n">
        <v>1200</v>
      </c>
      <c r="B161" s="11" t="s">
        <v>337</v>
      </c>
      <c r="C161" s="11" t="s">
        <v>338</v>
      </c>
      <c r="D161" s="11" t="s">
        <v>339</v>
      </c>
      <c r="E161" s="11" t="s">
        <v>189</v>
      </c>
      <c r="F161" s="11" t="s">
        <v>346</v>
      </c>
      <c r="G161" s="12" t="n">
        <v>1</v>
      </c>
      <c r="H161" s="11" t="s">
        <v>71</v>
      </c>
      <c r="I161" s="13" t="n">
        <v>308.772</v>
      </c>
      <c r="J161" s="14" t="n">
        <f aca="false">IF(ISNUMBER(I161),G161*I161,"")</f>
        <v>308.772</v>
      </c>
      <c r="K161" s="11" t="s">
        <v>72</v>
      </c>
      <c r="L161" s="11" t="s">
        <v>32</v>
      </c>
      <c r="M161" s="11"/>
    </row>
    <row r="162" customFormat="false" ht="23.85" hidden="false" customHeight="false" outlineLevel="0" collapsed="false">
      <c r="A162" s="11" t="n">
        <v>1210</v>
      </c>
      <c r="B162" s="11" t="s">
        <v>337</v>
      </c>
      <c r="C162" s="11" t="s">
        <v>338</v>
      </c>
      <c r="D162" s="11" t="s">
        <v>339</v>
      </c>
      <c r="E162" s="11" t="s">
        <v>191</v>
      </c>
      <c r="F162" s="11" t="s">
        <v>347</v>
      </c>
      <c r="G162" s="12" t="n">
        <v>1</v>
      </c>
      <c r="H162" s="11" t="s">
        <v>71</v>
      </c>
      <c r="I162" s="13" t="n">
        <v>88.695</v>
      </c>
      <c r="J162" s="14" t="n">
        <f aca="false">IF(ISNUMBER(I162),G162*I162,"")</f>
        <v>88.695</v>
      </c>
      <c r="K162" s="11" t="s">
        <v>72</v>
      </c>
      <c r="L162" s="11" t="s">
        <v>32</v>
      </c>
      <c r="M162" s="11"/>
    </row>
    <row r="163" customFormat="false" ht="23.85" hidden="false" customHeight="false" outlineLevel="0" collapsed="false">
      <c r="A163" s="11" t="n">
        <v>1220</v>
      </c>
      <c r="B163" s="11" t="s">
        <v>337</v>
      </c>
      <c r="C163" s="11" t="s">
        <v>338</v>
      </c>
      <c r="D163" s="11" t="s">
        <v>339</v>
      </c>
      <c r="E163" s="11" t="s">
        <v>196</v>
      </c>
      <c r="F163" s="11" t="s">
        <v>348</v>
      </c>
      <c r="G163" s="12" t="n">
        <v>1</v>
      </c>
      <c r="H163" s="11" t="s">
        <v>71</v>
      </c>
      <c r="I163" s="13" t="n">
        <v>122.2884</v>
      </c>
      <c r="J163" s="14" t="n">
        <f aca="false">IF(ISNUMBER(I163),G163*I163,"")</f>
        <v>122.2884</v>
      </c>
      <c r="K163" s="11" t="s">
        <v>72</v>
      </c>
      <c r="L163" s="11" t="s">
        <v>32</v>
      </c>
      <c r="M163" s="11"/>
    </row>
    <row r="164" customFormat="false" ht="23.85" hidden="false" customHeight="false" outlineLevel="0" collapsed="false">
      <c r="A164" s="11" t="n">
        <v>1230</v>
      </c>
      <c r="B164" s="11" t="s">
        <v>337</v>
      </c>
      <c r="C164" s="11" t="s">
        <v>338</v>
      </c>
      <c r="D164" s="11" t="s">
        <v>339</v>
      </c>
      <c r="E164" s="11" t="s">
        <v>202</v>
      </c>
      <c r="F164" s="11" t="s">
        <v>349</v>
      </c>
      <c r="G164" s="12" t="n">
        <v>1</v>
      </c>
      <c r="H164" s="11" t="s">
        <v>71</v>
      </c>
      <c r="I164" s="13" t="n">
        <v>137.268</v>
      </c>
      <c r="J164" s="14" t="n">
        <f aca="false">IF(ISNUMBER(I164),G164*I164,"")</f>
        <v>137.268</v>
      </c>
      <c r="K164" s="11" t="s">
        <v>72</v>
      </c>
      <c r="L164" s="11" t="s">
        <v>32</v>
      </c>
      <c r="M164" s="11"/>
    </row>
    <row r="165" customFormat="false" ht="23.85" hidden="false" customHeight="false" outlineLevel="0" collapsed="false">
      <c r="A165" s="11" t="n">
        <v>1240</v>
      </c>
      <c r="B165" s="11" t="s">
        <v>337</v>
      </c>
      <c r="C165" s="11" t="s">
        <v>338</v>
      </c>
      <c r="D165" s="11" t="s">
        <v>339</v>
      </c>
      <c r="E165" s="11" t="s">
        <v>215</v>
      </c>
      <c r="F165" s="11" t="s">
        <v>350</v>
      </c>
      <c r="G165" s="12" t="n">
        <v>1</v>
      </c>
      <c r="H165" s="11" t="s">
        <v>71</v>
      </c>
      <c r="I165" s="13" t="n">
        <v>1106</v>
      </c>
      <c r="J165" s="14" t="n">
        <f aca="false">IF(ISNUMBER(I165),G165*I165,"")</f>
        <v>1106</v>
      </c>
      <c r="K165" s="11" t="s">
        <v>72</v>
      </c>
      <c r="L165" s="11" t="s">
        <v>32</v>
      </c>
      <c r="M165" s="11"/>
    </row>
    <row r="166" customFormat="false" ht="23.85" hidden="false" customHeight="false" outlineLevel="0" collapsed="false">
      <c r="A166" s="11" t="n">
        <v>1250</v>
      </c>
      <c r="B166" s="11" t="s">
        <v>337</v>
      </c>
      <c r="C166" s="11" t="s">
        <v>338</v>
      </c>
      <c r="D166" s="11" t="s">
        <v>339</v>
      </c>
      <c r="E166" s="11" t="s">
        <v>217</v>
      </c>
      <c r="F166" s="11" t="s">
        <v>218</v>
      </c>
      <c r="G166" s="12" t="n">
        <v>1</v>
      </c>
      <c r="H166" s="11" t="s">
        <v>71</v>
      </c>
      <c r="I166" s="13" t="n">
        <v>99</v>
      </c>
      <c r="J166" s="14" t="n">
        <f aca="false">IF(ISNUMBER(I166),G166*I166,"")</f>
        <v>99</v>
      </c>
      <c r="K166" s="11" t="s">
        <v>72</v>
      </c>
      <c r="L166" s="11" t="s">
        <v>32</v>
      </c>
      <c r="M166" s="11"/>
    </row>
    <row r="167" customFormat="false" ht="23.85" hidden="false" customHeight="false" outlineLevel="0" collapsed="false">
      <c r="A167" s="11" t="n">
        <v>1260</v>
      </c>
      <c r="B167" s="11" t="s">
        <v>337</v>
      </c>
      <c r="C167" s="11" t="s">
        <v>338</v>
      </c>
      <c r="D167" s="11" t="s">
        <v>339</v>
      </c>
      <c r="E167" s="11" t="s">
        <v>219</v>
      </c>
      <c r="F167" s="11" t="s">
        <v>220</v>
      </c>
      <c r="G167" s="12" t="n">
        <v>1</v>
      </c>
      <c r="H167" s="11" t="s">
        <v>71</v>
      </c>
      <c r="I167" s="13" t="n">
        <v>230</v>
      </c>
      <c r="J167" s="14" t="n">
        <f aca="false">IF(ISNUMBER(I167),G167*I167,"")</f>
        <v>230</v>
      </c>
      <c r="K167" s="11" t="s">
        <v>72</v>
      </c>
      <c r="L167" s="11" t="s">
        <v>32</v>
      </c>
      <c r="M167" s="11"/>
    </row>
    <row r="168" customFormat="false" ht="23.85" hidden="false" customHeight="false" outlineLevel="0" collapsed="false">
      <c r="A168" s="11" t="n">
        <v>1270</v>
      </c>
      <c r="B168" s="11" t="s">
        <v>337</v>
      </c>
      <c r="C168" s="11" t="s">
        <v>338</v>
      </c>
      <c r="D168" s="11" t="s">
        <v>339</v>
      </c>
      <c r="E168" s="11" t="s">
        <v>171</v>
      </c>
      <c r="F168" s="11" t="s">
        <v>351</v>
      </c>
      <c r="G168" s="12" t="n">
        <v>1</v>
      </c>
      <c r="H168" s="11" t="s">
        <v>71</v>
      </c>
      <c r="I168" s="15"/>
      <c r="J168" s="14" t="str">
        <f aca="false">IF(ISNUMBER(I168),G168*I168,"")</f>
        <v/>
      </c>
      <c r="K168" s="11" t="s">
        <v>106</v>
      </c>
      <c r="L168" s="11" t="s">
        <v>36</v>
      </c>
      <c r="M168" s="11" t="s">
        <v>352</v>
      </c>
    </row>
    <row r="169" customFormat="false" ht="23.85" hidden="false" customHeight="false" outlineLevel="0" collapsed="false">
      <c r="A169" s="11" t="n">
        <v>1280</v>
      </c>
      <c r="B169" s="11" t="s">
        <v>337</v>
      </c>
      <c r="C169" s="11" t="s">
        <v>338</v>
      </c>
      <c r="D169" s="11" t="s">
        <v>339</v>
      </c>
      <c r="E169" s="11" t="s">
        <v>144</v>
      </c>
      <c r="F169" s="11" t="s">
        <v>353</v>
      </c>
      <c r="G169" s="12" t="n">
        <v>5</v>
      </c>
      <c r="H169" s="11" t="s">
        <v>71</v>
      </c>
      <c r="I169" s="15"/>
      <c r="J169" s="14" t="str">
        <f aca="false">IF(ISNUMBER(I169),G169*I169,"")</f>
        <v/>
      </c>
      <c r="K169" s="11" t="s">
        <v>140</v>
      </c>
      <c r="L169" s="11" t="s">
        <v>34</v>
      </c>
      <c r="M169" s="11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7" t="s">
        <v>354</v>
      </c>
      <c r="G170" s="16"/>
      <c r="H170" s="16"/>
      <c r="I170" s="16"/>
      <c r="J170" s="18" t="n">
        <f aca="false">SUBTOTAL(9,J155:J169)</f>
        <v>6327.8239</v>
      </c>
      <c r="K170" s="16"/>
      <c r="L170" s="19" t="str">
        <f aca="false">COUNTIFS(B155:B169,"S",I155:I169,"")&amp;" lines RFQ"</f>
        <v>2 lines RFQ</v>
      </c>
      <c r="M170" s="16"/>
    </row>
    <row r="172" customFormat="false" ht="15" hidden="false" customHeight="false" outlineLevel="0" collapsed="false">
      <c r="F172" s="2" t="s">
        <v>355</v>
      </c>
      <c r="J172" s="20" t="n">
        <f aca="false">SUBTOTAL(9,J5:J170)</f>
        <v>104639.18645644</v>
      </c>
    </row>
    <row r="173" customFormat="false" ht="15" hidden="false" customHeight="false" outlineLevel="0" collapsed="false">
      <c r="F173" s="2" t="s">
        <v>356</v>
      </c>
      <c r="J173" s="2" t="n">
        <f aca="false">COUNTIFS(E5:E170,"&lt;&gt;",I5:I170,"")</f>
        <v>53</v>
      </c>
    </row>
    <row r="174" customFormat="false" ht="15" hidden="false" customHeight="false" outlineLevel="0" collapsed="false">
      <c r="F174" s="21" t="s">
        <v>357</v>
      </c>
      <c r="J174" s="22" t="n">
        <v>102584.41005644</v>
      </c>
    </row>
  </sheetData>
  <autoFilter ref="A4:M17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358</v>
      </c>
    </row>
    <row r="3" customFormat="false" ht="15" hidden="false" customHeight="false" outlineLevel="0" collapsed="false">
      <c r="A3" s="8" t="s">
        <v>57</v>
      </c>
      <c r="B3" s="8" t="s">
        <v>58</v>
      </c>
      <c r="C3" s="8" t="s">
        <v>359</v>
      </c>
      <c r="D3" s="8" t="s">
        <v>60</v>
      </c>
      <c r="E3" s="8" t="s">
        <v>61</v>
      </c>
      <c r="F3" s="8" t="s">
        <v>62</v>
      </c>
      <c r="G3" s="8" t="s">
        <v>64</v>
      </c>
      <c r="H3" s="8" t="s">
        <v>360</v>
      </c>
      <c r="I3" s="8" t="s">
        <v>361</v>
      </c>
    </row>
    <row r="4" customFormat="false" ht="23.85" hidden="false" customHeight="false" outlineLevel="0" collapsed="false">
      <c r="A4" s="11" t="s">
        <v>69</v>
      </c>
      <c r="B4" s="11" t="s">
        <v>70</v>
      </c>
      <c r="C4" s="11" t="n">
        <f aca="false">SUMIF('BOM by Location'!$E$5:$E$170,A4,'BOM by Location'!$G$5:$G$170)</f>
        <v>2</v>
      </c>
      <c r="D4" s="11" t="s">
        <v>71</v>
      </c>
      <c r="E4" s="14" t="n">
        <f aca="false">IFERROR(IF(INDEX('BOM by Location'!$I$5:$I$170,MATCH(A4,'BOM by Location'!$E$5:$E$170,0))="","",INDEX('BOM by Location'!$I$5:$I$170,MATCH(A4,'BOM by Location'!$E$5:$E$170,0))),"")</f>
        <v>6750</v>
      </c>
      <c r="F4" s="14" t="n">
        <f aca="false">IF(ISNUMBER(E4),IF(E4="","",C4*E4),"")</f>
        <v>13500</v>
      </c>
      <c r="G4" s="11" t="s">
        <v>32</v>
      </c>
      <c r="H4" s="12" t="n">
        <v>2</v>
      </c>
      <c r="I4" s="23" t="n">
        <f aca="false">C4-H4</f>
        <v>0</v>
      </c>
    </row>
    <row r="5" customFormat="false" ht="23.85" hidden="false" customHeight="false" outlineLevel="0" collapsed="false">
      <c r="A5" s="11" t="s">
        <v>74</v>
      </c>
      <c r="B5" s="11" t="s">
        <v>75</v>
      </c>
      <c r="C5" s="11" t="n">
        <f aca="false">SUMIF('BOM by Location'!$E$5:$E$170,A5,'BOM by Location'!$G$5:$G$170)</f>
        <v>2</v>
      </c>
      <c r="D5" s="11" t="s">
        <v>71</v>
      </c>
      <c r="E5" s="14" t="n">
        <f aca="false">IFERROR(IF(INDEX('BOM by Location'!$I$5:$I$170,MATCH(A5,'BOM by Location'!$E$5:$E$170,0))="","",INDEX('BOM by Location'!$I$5:$I$170,MATCH(A5,'BOM by Location'!$E$5:$E$170,0))),"")</f>
        <v>4699.91395424935</v>
      </c>
      <c r="F5" s="14" t="n">
        <f aca="false">IF(ISNUMBER(E5),IF(E5="","",C5*E5),"")</f>
        <v>9399.8279084987</v>
      </c>
      <c r="G5" s="11" t="s">
        <v>32</v>
      </c>
      <c r="H5" s="12" t="n">
        <v>2</v>
      </c>
      <c r="I5" s="23" t="n">
        <f aca="false">C5-H5</f>
        <v>0</v>
      </c>
    </row>
    <row r="6" customFormat="false" ht="15" hidden="false" customHeight="false" outlineLevel="0" collapsed="false">
      <c r="A6" s="11" t="s">
        <v>78</v>
      </c>
      <c r="B6" s="11" t="s">
        <v>79</v>
      </c>
      <c r="C6" s="11" t="n">
        <f aca="false">SUMIF('BOM by Location'!$E$5:$E$170,A6,'BOM by Location'!$G$5:$G$170)</f>
        <v>1</v>
      </c>
      <c r="D6" s="11" t="s">
        <v>71</v>
      </c>
      <c r="E6" s="14" t="n">
        <f aca="false">IFERROR(IF(INDEX('BOM by Location'!$I$5:$I$170,MATCH(A6,'BOM by Location'!$E$5:$E$170,0))="","",INDEX('BOM by Location'!$I$5:$I$170,MATCH(A6,'BOM by Location'!$E$5:$E$170,0))),"")</f>
        <v>2749.03254794152</v>
      </c>
      <c r="F6" s="14" t="n">
        <f aca="false">IF(ISNUMBER(E6),IF(E6="","",C6*E6),"")</f>
        <v>2749.03254794152</v>
      </c>
      <c r="G6" s="11" t="s">
        <v>32</v>
      </c>
      <c r="H6" s="12" t="n">
        <v>1</v>
      </c>
      <c r="I6" s="23" t="n">
        <f aca="false">C6-H6</f>
        <v>0</v>
      </c>
    </row>
    <row r="7" customFormat="false" ht="23.85" hidden="false" customHeight="false" outlineLevel="0" collapsed="false">
      <c r="A7" s="11" t="s">
        <v>81</v>
      </c>
      <c r="B7" s="11" t="s">
        <v>82</v>
      </c>
      <c r="C7" s="11" t="n">
        <f aca="false">SUMIF('BOM by Location'!$E$5:$E$170,A7,'BOM by Location'!$G$5:$G$170)</f>
        <v>1</v>
      </c>
      <c r="D7" s="11" t="s">
        <v>71</v>
      </c>
      <c r="E7" s="14" t="str">
        <f aca="false">IFERROR(IF(INDEX('BOM by Location'!$I$5:$I$170,MATCH(A7,'BOM by Location'!$E$5:$E$170,0))="","",INDEX('BOM by Location'!$I$5:$I$170,MATCH(A7,'BOM by Location'!$E$5:$E$170,0))),"")</f>
        <v/>
      </c>
      <c r="F7" s="14" t="str">
        <f aca="false">IF(ISNUMBER(E7),IF(E7="","",C7*E7),"")</f>
        <v/>
      </c>
      <c r="G7" s="11" t="s">
        <v>36</v>
      </c>
      <c r="H7" s="12" t="n">
        <v>0</v>
      </c>
      <c r="I7" s="23" t="n">
        <f aca="false">C7-H7</f>
        <v>1</v>
      </c>
    </row>
    <row r="8" customFormat="false" ht="23.85" hidden="false" customHeight="false" outlineLevel="0" collapsed="false">
      <c r="A8" s="11" t="s">
        <v>85</v>
      </c>
      <c r="B8" s="11" t="s">
        <v>86</v>
      </c>
      <c r="C8" s="11" t="n">
        <f aca="false">SUMIF('BOM by Location'!$E$5:$E$170,A8,'BOM by Location'!$G$5:$G$170)</f>
        <v>1</v>
      </c>
      <c r="D8" s="11" t="s">
        <v>71</v>
      </c>
      <c r="E8" s="14" t="str">
        <f aca="false">IFERROR(IF(INDEX('BOM by Location'!$I$5:$I$170,MATCH(A8,'BOM by Location'!$E$5:$E$170,0))="","",INDEX('BOM by Location'!$I$5:$I$170,MATCH(A8,'BOM by Location'!$E$5:$E$170,0))),"")</f>
        <v/>
      </c>
      <c r="F8" s="14" t="str">
        <f aca="false">IF(ISNUMBER(E8),IF(E8="","",C8*E8),"")</f>
        <v/>
      </c>
      <c r="G8" s="11" t="s">
        <v>36</v>
      </c>
      <c r="H8" s="12" t="n">
        <v>0</v>
      </c>
      <c r="I8" s="23" t="n">
        <f aca="false">C8-H8</f>
        <v>1</v>
      </c>
    </row>
    <row r="9" customFormat="false" ht="15" hidden="false" customHeight="false" outlineLevel="0" collapsed="false">
      <c r="A9" s="11" t="s">
        <v>89</v>
      </c>
      <c r="B9" s="11" t="s">
        <v>90</v>
      </c>
      <c r="C9" s="11" t="n">
        <f aca="false">SUMIF('BOM by Location'!$E$5:$E$170,A9,'BOM by Location'!$G$5:$G$170)</f>
        <v>1</v>
      </c>
      <c r="D9" s="11" t="s">
        <v>71</v>
      </c>
      <c r="E9" s="14" t="str">
        <f aca="false">IFERROR(IF(INDEX('BOM by Location'!$I$5:$I$170,MATCH(A9,'BOM by Location'!$E$5:$E$170,0))="","",INDEX('BOM by Location'!$I$5:$I$170,MATCH(A9,'BOM by Location'!$E$5:$E$170,0))),"")</f>
        <v/>
      </c>
      <c r="F9" s="14" t="str">
        <f aca="false">IF(ISNUMBER(E9),IF(E9="","",C9*E9),"")</f>
        <v/>
      </c>
      <c r="G9" s="11" t="s">
        <v>36</v>
      </c>
      <c r="H9" s="12" t="n">
        <v>0</v>
      </c>
      <c r="I9" s="23" t="n">
        <f aca="false">C9-H9</f>
        <v>1</v>
      </c>
    </row>
    <row r="10" customFormat="false" ht="15" hidden="false" customHeight="false" outlineLevel="0" collapsed="false">
      <c r="A10" s="11" t="s">
        <v>93</v>
      </c>
      <c r="B10" s="11" t="s">
        <v>94</v>
      </c>
      <c r="C10" s="11" t="n">
        <f aca="false">SUMIF('BOM by Location'!$E$5:$E$170,A10,'BOM by Location'!$G$5:$G$170)</f>
        <v>1</v>
      </c>
      <c r="D10" s="11" t="s">
        <v>71</v>
      </c>
      <c r="E10" s="14" t="str">
        <f aca="false">IFERROR(IF(INDEX('BOM by Location'!$I$5:$I$170,MATCH(A10,'BOM by Location'!$E$5:$E$170,0))="","",INDEX('BOM by Location'!$I$5:$I$170,MATCH(A10,'BOM by Location'!$E$5:$E$170,0))),"")</f>
        <v/>
      </c>
      <c r="F10" s="14" t="str">
        <f aca="false">IF(ISNUMBER(E10),IF(E10="","",C10*E10),"")</f>
        <v/>
      </c>
      <c r="G10" s="11" t="s">
        <v>36</v>
      </c>
      <c r="H10" s="12" t="n">
        <v>0</v>
      </c>
      <c r="I10" s="23" t="n">
        <f aca="false">C10-H10</f>
        <v>1</v>
      </c>
    </row>
    <row r="11" customFormat="false" ht="15" hidden="false" customHeight="false" outlineLevel="0" collapsed="false">
      <c r="A11" s="11" t="s">
        <v>97</v>
      </c>
      <c r="B11" s="11" t="s">
        <v>98</v>
      </c>
      <c r="C11" s="11" t="n">
        <f aca="false">SUMIF('BOM by Location'!$E$5:$E$170,A11,'BOM by Location'!$G$5:$G$170)</f>
        <v>1</v>
      </c>
      <c r="D11" s="11" t="s">
        <v>71</v>
      </c>
      <c r="E11" s="14" t="n">
        <f aca="false">IFERROR(IF(INDEX('BOM by Location'!$I$5:$I$170,MATCH(A11,'BOM by Location'!$E$5:$E$170,0))="","",INDEX('BOM by Location'!$I$5:$I$170,MATCH(A11,'BOM by Location'!$E$5:$E$170,0))),"")</f>
        <v>1609.695</v>
      </c>
      <c r="F11" s="14" t="n">
        <f aca="false">IF(ISNUMBER(E11),IF(E11="","",C11*E11),"")</f>
        <v>1609.695</v>
      </c>
      <c r="G11" s="11" t="s">
        <v>32</v>
      </c>
      <c r="H11" s="12" t="n">
        <v>2</v>
      </c>
      <c r="I11" s="23" t="n">
        <f aca="false">C11-H11</f>
        <v>-1</v>
      </c>
    </row>
    <row r="12" customFormat="false" ht="15" hidden="false" customHeight="false" outlineLevel="0" collapsed="false">
      <c r="A12" s="11" t="s">
        <v>101</v>
      </c>
      <c r="B12" s="11" t="s">
        <v>102</v>
      </c>
      <c r="C12" s="11" t="n">
        <f aca="false">SUMIF('BOM by Location'!$E$5:$E$170,A12,'BOM by Location'!$G$5:$G$170)</f>
        <v>1</v>
      </c>
      <c r="D12" s="11" t="s">
        <v>71</v>
      </c>
      <c r="E12" s="14" t="str">
        <f aca="false">IFERROR(IF(INDEX('BOM by Location'!$I$5:$I$170,MATCH(A12,'BOM by Location'!$E$5:$E$170,0))="","",INDEX('BOM by Location'!$I$5:$I$170,MATCH(A12,'BOM by Location'!$E$5:$E$170,0))),"")</f>
        <v/>
      </c>
      <c r="F12" s="14" t="str">
        <f aca="false">IF(ISNUMBER(E12),IF(E12="","",C12*E12),"")</f>
        <v/>
      </c>
      <c r="G12" s="11" t="s">
        <v>34</v>
      </c>
      <c r="H12" s="12" t="n">
        <v>0</v>
      </c>
      <c r="I12" s="23" t="n">
        <f aca="false">C12-H12</f>
        <v>1</v>
      </c>
    </row>
    <row r="13" customFormat="false" ht="15" hidden="false" customHeight="false" outlineLevel="0" collapsed="false">
      <c r="A13" s="11" t="s">
        <v>104</v>
      </c>
      <c r="B13" s="11" t="s">
        <v>105</v>
      </c>
      <c r="C13" s="11" t="n">
        <f aca="false">SUMIF('BOM by Location'!$E$5:$E$170,A13,'BOM by Location'!$G$5:$G$170)</f>
        <v>1</v>
      </c>
      <c r="D13" s="11" t="s">
        <v>71</v>
      </c>
      <c r="E13" s="14" t="str">
        <f aca="false">IFERROR(IF(INDEX('BOM by Location'!$I$5:$I$170,MATCH(A13,'BOM by Location'!$E$5:$E$170,0))="","",INDEX('BOM by Location'!$I$5:$I$170,MATCH(A13,'BOM by Location'!$E$5:$E$170,0))),"")</f>
        <v/>
      </c>
      <c r="F13" s="14" t="str">
        <f aca="false">IF(ISNUMBER(E13),IF(E13="","",C13*E13),"")</f>
        <v/>
      </c>
      <c r="G13" s="11" t="s">
        <v>34</v>
      </c>
      <c r="H13" s="12" t="n">
        <v>0</v>
      </c>
      <c r="I13" s="23" t="n">
        <f aca="false">C13-H13</f>
        <v>1</v>
      </c>
    </row>
    <row r="14" customFormat="false" ht="23.85" hidden="false" customHeight="false" outlineLevel="0" collapsed="false">
      <c r="A14" s="11" t="s">
        <v>109</v>
      </c>
      <c r="B14" s="11" t="s">
        <v>110</v>
      </c>
      <c r="C14" s="11" t="n">
        <f aca="false">SUMIF('BOM by Location'!$E$5:$E$170,A14,'BOM by Location'!$G$5:$G$170)</f>
        <v>1</v>
      </c>
      <c r="D14" s="11" t="s">
        <v>71</v>
      </c>
      <c r="E14" s="14" t="str">
        <f aca="false">IFERROR(IF(INDEX('BOM by Location'!$I$5:$I$170,MATCH(A14,'BOM by Location'!$E$5:$E$170,0))="","",INDEX('BOM by Location'!$I$5:$I$170,MATCH(A14,'BOM by Location'!$E$5:$E$170,0))),"")</f>
        <v/>
      </c>
      <c r="F14" s="14" t="str">
        <f aca="false">IF(ISNUMBER(E14),IF(E14="","",C14*E14),"")</f>
        <v/>
      </c>
      <c r="G14" s="11" t="s">
        <v>34</v>
      </c>
      <c r="H14" s="12" t="n">
        <v>0</v>
      </c>
      <c r="I14" s="23" t="n">
        <f aca="false">C14-H14</f>
        <v>1</v>
      </c>
    </row>
    <row r="15" customFormat="false" ht="15" hidden="false" customHeight="false" outlineLevel="0" collapsed="false">
      <c r="A15" s="11" t="s">
        <v>112</v>
      </c>
      <c r="B15" s="11" t="s">
        <v>113</v>
      </c>
      <c r="C15" s="11" t="n">
        <f aca="false">SUMIF('BOM by Location'!$E$5:$E$170,A15,'BOM by Location'!$G$5:$G$170)</f>
        <v>1</v>
      </c>
      <c r="D15" s="11" t="s">
        <v>114</v>
      </c>
      <c r="E15" s="14" t="str">
        <f aca="false">IFERROR(IF(INDEX('BOM by Location'!$I$5:$I$170,MATCH(A15,'BOM by Location'!$E$5:$E$170,0))="","",INDEX('BOM by Location'!$I$5:$I$170,MATCH(A15,'BOM by Location'!$E$5:$E$170,0))),"")</f>
        <v/>
      </c>
      <c r="F15" s="14" t="str">
        <f aca="false">IF(ISNUMBER(E15),IF(E15="","",C15*E15),"")</f>
        <v/>
      </c>
      <c r="G15" s="11" t="s">
        <v>36</v>
      </c>
      <c r="H15" s="12" t="n">
        <v>0</v>
      </c>
      <c r="I15" s="23" t="n">
        <f aca="false">C15-H15</f>
        <v>1</v>
      </c>
    </row>
    <row r="16" customFormat="false" ht="15" hidden="false" customHeight="false" outlineLevel="0" collapsed="false">
      <c r="A16" s="11" t="s">
        <v>120</v>
      </c>
      <c r="B16" s="11" t="s">
        <v>121</v>
      </c>
      <c r="C16" s="11" t="n">
        <f aca="false">SUMIF('BOM by Location'!$E$5:$E$170,A16,'BOM by Location'!$G$5:$G$170)</f>
        <v>2</v>
      </c>
      <c r="D16" s="11" t="s">
        <v>71</v>
      </c>
      <c r="E16" s="14" t="n">
        <f aca="false">IFERROR(IF(INDEX('BOM by Location'!$I$5:$I$170,MATCH(A16,'BOM by Location'!$E$5:$E$170,0))="","",INDEX('BOM by Location'!$I$5:$I$170,MATCH(A16,'BOM by Location'!$E$5:$E$170,0))),"")</f>
        <v>227.682</v>
      </c>
      <c r="F16" s="14" t="n">
        <f aca="false">IF(ISNUMBER(E16),IF(E16="","",C16*E16),"")</f>
        <v>455.364</v>
      </c>
      <c r="G16" s="11" t="s">
        <v>32</v>
      </c>
      <c r="H16" s="12" t="n">
        <v>2</v>
      </c>
      <c r="I16" s="23" t="n">
        <f aca="false">C16-H16</f>
        <v>0</v>
      </c>
    </row>
    <row r="17" customFormat="false" ht="15" hidden="false" customHeight="false" outlineLevel="0" collapsed="false">
      <c r="A17" s="11" t="s">
        <v>122</v>
      </c>
      <c r="B17" s="11" t="s">
        <v>123</v>
      </c>
      <c r="C17" s="11" t="n">
        <f aca="false">SUMIF('BOM by Location'!$E$5:$E$170,A17,'BOM by Location'!$G$5:$G$170)</f>
        <v>3</v>
      </c>
      <c r="D17" s="11" t="s">
        <v>71</v>
      </c>
      <c r="E17" s="14" t="n">
        <f aca="false">IFERROR(IF(INDEX('BOM by Location'!$I$5:$I$170,MATCH(A17,'BOM by Location'!$E$5:$E$170,0))="","",INDEX('BOM by Location'!$I$5:$I$170,MATCH(A17,'BOM by Location'!$E$5:$E$170,0))),"")</f>
        <v>320.0265</v>
      </c>
      <c r="F17" s="14" t="n">
        <f aca="false">IF(ISNUMBER(E17),IF(E17="","",C17*E17),"")</f>
        <v>960.0795</v>
      </c>
      <c r="G17" s="11" t="s">
        <v>32</v>
      </c>
      <c r="H17" s="12" t="n">
        <v>3</v>
      </c>
      <c r="I17" s="23" t="n">
        <f aca="false">C17-H17</f>
        <v>0</v>
      </c>
    </row>
    <row r="18" customFormat="false" ht="15" hidden="false" customHeight="false" outlineLevel="0" collapsed="false">
      <c r="A18" s="11" t="s">
        <v>124</v>
      </c>
      <c r="B18" s="11" t="s">
        <v>125</v>
      </c>
      <c r="C18" s="11" t="n">
        <f aca="false">SUMIF('BOM by Location'!$E$5:$E$170,A18,'BOM by Location'!$G$5:$G$170)</f>
        <v>2</v>
      </c>
      <c r="D18" s="11" t="s">
        <v>71</v>
      </c>
      <c r="E18" s="14" t="n">
        <f aca="false">IFERROR(IF(INDEX('BOM by Location'!$I$5:$I$170,MATCH(A18,'BOM by Location'!$E$5:$E$170,0))="","",INDEX('BOM by Location'!$I$5:$I$170,MATCH(A18,'BOM by Location'!$E$5:$E$170,0))),"")</f>
        <v>2337.7635</v>
      </c>
      <c r="F18" s="14" t="n">
        <f aca="false">IF(ISNUMBER(E18),IF(E18="","",C18*E18),"")</f>
        <v>4675.527</v>
      </c>
      <c r="G18" s="11" t="s">
        <v>32</v>
      </c>
      <c r="H18" s="12" t="n">
        <v>2</v>
      </c>
      <c r="I18" s="23" t="n">
        <f aca="false">C18-H18</f>
        <v>0</v>
      </c>
    </row>
    <row r="19" customFormat="false" ht="15" hidden="false" customHeight="false" outlineLevel="0" collapsed="false">
      <c r="A19" s="11" t="s">
        <v>127</v>
      </c>
      <c r="B19" s="11" t="s">
        <v>128</v>
      </c>
      <c r="C19" s="11" t="n">
        <f aca="false">SUMIF('BOM by Location'!$E$5:$E$170,A19,'BOM by Location'!$G$5:$G$170)</f>
        <v>3</v>
      </c>
      <c r="D19" s="11" t="s">
        <v>71</v>
      </c>
      <c r="E19" s="14" t="n">
        <f aca="false">IFERROR(IF(INDEX('BOM by Location'!$I$5:$I$170,MATCH(A19,'BOM by Location'!$E$5:$E$170,0))="","",INDEX('BOM by Location'!$I$5:$I$170,MATCH(A19,'BOM by Location'!$E$5:$E$170,0))),"")</f>
        <v>887.94</v>
      </c>
      <c r="F19" s="14" t="n">
        <f aca="false">IF(ISNUMBER(E19),IF(E19="","",C19*E19),"")</f>
        <v>2663.82</v>
      </c>
      <c r="G19" s="11" t="s">
        <v>32</v>
      </c>
      <c r="H19" s="12" t="n">
        <v>2</v>
      </c>
      <c r="I19" s="23" t="n">
        <f aca="false">C19-H19</f>
        <v>1</v>
      </c>
    </row>
    <row r="20" customFormat="false" ht="15" hidden="false" customHeight="false" outlineLevel="0" collapsed="false">
      <c r="A20" s="11" t="s">
        <v>130</v>
      </c>
      <c r="B20" s="11" t="s">
        <v>131</v>
      </c>
      <c r="C20" s="11" t="n">
        <f aca="false">SUMIF('BOM by Location'!$E$5:$E$170,A20,'BOM by Location'!$G$5:$G$170)</f>
        <v>1</v>
      </c>
      <c r="D20" s="11" t="s">
        <v>71</v>
      </c>
      <c r="E20" s="14" t="n">
        <f aca="false">IFERROR(IF(INDEX('BOM by Location'!$I$5:$I$170,MATCH(A20,'BOM by Location'!$E$5:$E$170,0))="","",INDEX('BOM by Location'!$I$5:$I$170,MATCH(A20,'BOM by Location'!$E$5:$E$170,0))),"")</f>
        <v>1014.795</v>
      </c>
      <c r="F20" s="14" t="n">
        <f aca="false">IF(ISNUMBER(E20),IF(E20="","",C20*E20),"")</f>
        <v>1014.795</v>
      </c>
      <c r="G20" s="11" t="s">
        <v>32</v>
      </c>
      <c r="H20" s="12" t="n">
        <v>1</v>
      </c>
      <c r="I20" s="23" t="n">
        <f aca="false">C20-H20</f>
        <v>0</v>
      </c>
    </row>
    <row r="21" customFormat="false" ht="15" hidden="false" customHeight="false" outlineLevel="0" collapsed="false">
      <c r="A21" s="11" t="s">
        <v>132</v>
      </c>
      <c r="B21" s="11" t="s">
        <v>133</v>
      </c>
      <c r="C21" s="11" t="n">
        <f aca="false">SUMIF('BOM by Location'!$E$5:$E$170,A21,'BOM by Location'!$G$5:$G$170)</f>
        <v>7</v>
      </c>
      <c r="D21" s="11" t="s">
        <v>71</v>
      </c>
      <c r="E21" s="14" t="n">
        <f aca="false">IFERROR(IF(INDEX('BOM by Location'!$I$5:$I$170,MATCH(A21,'BOM by Location'!$E$5:$E$170,0))="","",INDEX('BOM by Location'!$I$5:$I$170,MATCH(A21,'BOM by Location'!$E$5:$E$170,0))),"")</f>
        <v>212.1705</v>
      </c>
      <c r="F21" s="14" t="n">
        <f aca="false">IF(ISNUMBER(E21),IF(E21="","",C21*E21),"")</f>
        <v>1485.1935</v>
      </c>
      <c r="G21" s="11" t="s">
        <v>32</v>
      </c>
      <c r="H21" s="12" t="n">
        <v>5</v>
      </c>
      <c r="I21" s="23" t="n">
        <f aca="false">C21-H21</f>
        <v>2</v>
      </c>
    </row>
    <row r="22" customFormat="false" ht="15" hidden="false" customHeight="false" outlineLevel="0" collapsed="false">
      <c r="A22" s="11" t="s">
        <v>134</v>
      </c>
      <c r="B22" s="11" t="s">
        <v>135</v>
      </c>
      <c r="C22" s="11" t="n">
        <f aca="false">SUMIF('BOM by Location'!$E$5:$E$170,A22,'BOM by Location'!$G$5:$G$170)</f>
        <v>4</v>
      </c>
      <c r="D22" s="11" t="s">
        <v>71</v>
      </c>
      <c r="E22" s="14" t="n">
        <f aca="false">IFERROR(IF(INDEX('BOM by Location'!$I$5:$I$170,MATCH(A22,'BOM by Location'!$E$5:$E$170,0))="","",INDEX('BOM by Location'!$I$5:$I$170,MATCH(A22,'BOM by Location'!$E$5:$E$170,0))),"")</f>
        <v>250.218</v>
      </c>
      <c r="F22" s="14" t="n">
        <f aca="false">IF(ISNUMBER(E22),IF(E22="","",C22*E22),"")</f>
        <v>1000.872</v>
      </c>
      <c r="G22" s="11" t="s">
        <v>32</v>
      </c>
      <c r="H22" s="12" t="n">
        <v>4</v>
      </c>
      <c r="I22" s="23" t="n">
        <f aca="false">C22-H22</f>
        <v>0</v>
      </c>
    </row>
    <row r="23" customFormat="false" ht="15" hidden="false" customHeight="false" outlineLevel="0" collapsed="false">
      <c r="A23" s="11" t="s">
        <v>136</v>
      </c>
      <c r="B23" s="11" t="s">
        <v>137</v>
      </c>
      <c r="C23" s="11" t="n">
        <f aca="false">SUMIF('BOM by Location'!$E$5:$E$170,A23,'BOM by Location'!$G$5:$G$170)</f>
        <v>9</v>
      </c>
      <c r="D23" s="11" t="s">
        <v>71</v>
      </c>
      <c r="E23" s="14" t="n">
        <f aca="false">IFERROR(IF(INDEX('BOM by Location'!$I$5:$I$170,MATCH(A23,'BOM by Location'!$E$5:$E$170,0))="","",INDEX('BOM by Location'!$I$5:$I$170,MATCH(A23,'BOM by Location'!$E$5:$E$170,0))),"")</f>
        <v>51.5835</v>
      </c>
      <c r="F23" s="14" t="n">
        <f aca="false">IF(ISNUMBER(E23),IF(E23="","",C23*E23),"")</f>
        <v>464.2515</v>
      </c>
      <c r="G23" s="11" t="s">
        <v>32</v>
      </c>
      <c r="H23" s="12" t="n">
        <v>7</v>
      </c>
      <c r="I23" s="23" t="n">
        <f aca="false">C23-H23</f>
        <v>2</v>
      </c>
    </row>
    <row r="24" customFormat="false" ht="15" hidden="false" customHeight="false" outlineLevel="0" collapsed="false">
      <c r="A24" s="11" t="s">
        <v>138</v>
      </c>
      <c r="B24" s="11" t="s">
        <v>139</v>
      </c>
      <c r="C24" s="11" t="n">
        <f aca="false">SUMIF('BOM by Location'!$E$5:$E$170,A24,'BOM by Location'!$G$5:$G$170)</f>
        <v>4</v>
      </c>
      <c r="D24" s="11" t="s">
        <v>71</v>
      </c>
      <c r="E24" s="14" t="str">
        <f aca="false">IFERROR(IF(INDEX('BOM by Location'!$I$5:$I$170,MATCH(A24,'BOM by Location'!$E$5:$E$170,0))="","",INDEX('BOM by Location'!$I$5:$I$170,MATCH(A24,'BOM by Location'!$E$5:$E$170,0))),"")</f>
        <v/>
      </c>
      <c r="F24" s="14" t="str">
        <f aca="false">IF(ISNUMBER(E24),IF(E24="","",C24*E24),"")</f>
        <v/>
      </c>
      <c r="G24" s="11" t="s">
        <v>34</v>
      </c>
      <c r="H24" s="12" t="n">
        <v>0</v>
      </c>
      <c r="I24" s="23" t="n">
        <f aca="false">C24-H24</f>
        <v>4</v>
      </c>
    </row>
    <row r="25" customFormat="false" ht="15" hidden="false" customHeight="false" outlineLevel="0" collapsed="false">
      <c r="A25" s="11" t="s">
        <v>142</v>
      </c>
      <c r="B25" s="11" t="s">
        <v>143</v>
      </c>
      <c r="C25" s="11" t="n">
        <f aca="false">SUMIF('BOM by Location'!$E$5:$E$170,A25,'BOM by Location'!$G$5:$G$170)</f>
        <v>2</v>
      </c>
      <c r="D25" s="11" t="s">
        <v>71</v>
      </c>
      <c r="E25" s="14" t="str">
        <f aca="false">IFERROR(IF(INDEX('BOM by Location'!$I$5:$I$170,MATCH(A25,'BOM by Location'!$E$5:$E$170,0))="","",INDEX('BOM by Location'!$I$5:$I$170,MATCH(A25,'BOM by Location'!$E$5:$E$170,0))),"")</f>
        <v/>
      </c>
      <c r="F25" s="14" t="str">
        <f aca="false">IF(ISNUMBER(E25),IF(E25="","",C25*E25),"")</f>
        <v/>
      </c>
      <c r="G25" s="11" t="s">
        <v>34</v>
      </c>
      <c r="H25" s="12" t="n">
        <v>0</v>
      </c>
      <c r="I25" s="23" t="n">
        <f aca="false">C25-H25</f>
        <v>2</v>
      </c>
    </row>
    <row r="26" customFormat="false" ht="15" hidden="false" customHeight="false" outlineLevel="0" collapsed="false">
      <c r="A26" s="11" t="s">
        <v>144</v>
      </c>
      <c r="B26" s="11" t="s">
        <v>145</v>
      </c>
      <c r="C26" s="11" t="n">
        <f aca="false">SUMIF('BOM by Location'!$E$5:$E$170,A26,'BOM by Location'!$G$5:$G$170)</f>
        <v>69</v>
      </c>
      <c r="D26" s="11" t="s">
        <v>71</v>
      </c>
      <c r="E26" s="14" t="str">
        <f aca="false">IFERROR(IF(INDEX('BOM by Location'!$I$5:$I$170,MATCH(A26,'BOM by Location'!$E$5:$E$170,0))="","",INDEX('BOM by Location'!$I$5:$I$170,MATCH(A26,'BOM by Location'!$E$5:$E$170,0))),"")</f>
        <v/>
      </c>
      <c r="F26" s="14" t="str">
        <f aca="false">IF(ISNUMBER(E26),IF(E26="","",C26*E26),"")</f>
        <v/>
      </c>
      <c r="G26" s="11" t="s">
        <v>34</v>
      </c>
      <c r="H26" s="12" t="n">
        <v>0</v>
      </c>
      <c r="I26" s="23" t="n">
        <f aca="false">C26-H26</f>
        <v>69</v>
      </c>
    </row>
    <row r="27" customFormat="false" ht="15" hidden="false" customHeight="false" outlineLevel="0" collapsed="false">
      <c r="A27" s="11" t="s">
        <v>147</v>
      </c>
      <c r="B27" s="11" t="s">
        <v>148</v>
      </c>
      <c r="C27" s="11" t="n">
        <f aca="false">SUMIF('BOM by Location'!$E$5:$E$170,A27,'BOM by Location'!$G$5:$G$170)</f>
        <v>64</v>
      </c>
      <c r="D27" s="11" t="s">
        <v>71</v>
      </c>
      <c r="E27" s="14" t="str">
        <f aca="false">IFERROR(IF(INDEX('BOM by Location'!$I$5:$I$170,MATCH(A27,'BOM by Location'!$E$5:$E$170,0))="","",INDEX('BOM by Location'!$I$5:$I$170,MATCH(A27,'BOM by Location'!$E$5:$E$170,0))),"")</f>
        <v/>
      </c>
      <c r="F27" s="14" t="str">
        <f aca="false">IF(ISNUMBER(E27),IF(E27="","",C27*E27),"")</f>
        <v/>
      </c>
      <c r="G27" s="11" t="s">
        <v>34</v>
      </c>
      <c r="H27" s="12" t="n">
        <v>0</v>
      </c>
      <c r="I27" s="23" t="n">
        <f aca="false">C27-H27</f>
        <v>64</v>
      </c>
    </row>
    <row r="28" customFormat="false" ht="15" hidden="false" customHeight="false" outlineLevel="0" collapsed="false">
      <c r="A28" s="11" t="s">
        <v>149</v>
      </c>
      <c r="B28" s="11" t="s">
        <v>150</v>
      </c>
      <c r="C28" s="11" t="n">
        <f aca="false">SUMIF('BOM by Location'!$E$5:$E$170,A28,'BOM by Location'!$G$5:$G$170)</f>
        <v>550</v>
      </c>
      <c r="D28" s="11" t="s">
        <v>71</v>
      </c>
      <c r="E28" s="14" t="str">
        <f aca="false">IFERROR(IF(INDEX('BOM by Location'!$I$5:$I$170,MATCH(A28,'BOM by Location'!$E$5:$E$170,0))="","",INDEX('BOM by Location'!$I$5:$I$170,MATCH(A28,'BOM by Location'!$E$5:$E$170,0))),"")</f>
        <v/>
      </c>
      <c r="F28" s="14" t="str">
        <f aca="false">IF(ISNUMBER(E28),IF(E28="","",C28*E28),"")</f>
        <v/>
      </c>
      <c r="G28" s="11" t="s">
        <v>34</v>
      </c>
      <c r="H28" s="12" t="n">
        <v>0</v>
      </c>
      <c r="I28" s="23" t="n">
        <f aca="false">C28-H28</f>
        <v>550</v>
      </c>
    </row>
    <row r="29" customFormat="false" ht="15" hidden="false" customHeight="false" outlineLevel="0" collapsed="false">
      <c r="A29" s="11" t="s">
        <v>152</v>
      </c>
      <c r="B29" s="11" t="s">
        <v>153</v>
      </c>
      <c r="C29" s="11" t="n">
        <f aca="false">SUMIF('BOM by Location'!$E$5:$E$170,A29,'BOM by Location'!$G$5:$G$170)</f>
        <v>2</v>
      </c>
      <c r="D29" s="11" t="s">
        <v>71</v>
      </c>
      <c r="E29" s="14" t="str">
        <f aca="false">IFERROR(IF(INDEX('BOM by Location'!$I$5:$I$170,MATCH(A29,'BOM by Location'!$E$5:$E$170,0))="","",INDEX('BOM by Location'!$I$5:$I$170,MATCH(A29,'BOM by Location'!$E$5:$E$170,0))),"")</f>
        <v/>
      </c>
      <c r="F29" s="14" t="str">
        <f aca="false">IF(ISNUMBER(E29),IF(E29="","",C29*E29),"")</f>
        <v/>
      </c>
      <c r="G29" s="11" t="s">
        <v>36</v>
      </c>
      <c r="H29" s="12" t="n">
        <v>0</v>
      </c>
      <c r="I29" s="23" t="n">
        <f aca="false">C29-H29</f>
        <v>2</v>
      </c>
    </row>
    <row r="30" customFormat="false" ht="15" hidden="false" customHeight="false" outlineLevel="0" collapsed="false">
      <c r="A30" s="11" t="s">
        <v>159</v>
      </c>
      <c r="B30" s="11" t="s">
        <v>160</v>
      </c>
      <c r="C30" s="11" t="n">
        <f aca="false">SUMIF('BOM by Location'!$E$5:$E$170,A30,'BOM by Location'!$G$5:$G$170)</f>
        <v>1</v>
      </c>
      <c r="D30" s="11" t="s">
        <v>71</v>
      </c>
      <c r="E30" s="14" t="n">
        <f aca="false">IFERROR(IF(INDEX('BOM by Location'!$I$5:$I$170,MATCH(A30,'BOM by Location'!$E$5:$E$170,0))="","",INDEX('BOM by Location'!$I$5:$I$170,MATCH(A30,'BOM by Location'!$E$5:$E$170,0))),"")</f>
        <v>322.7805</v>
      </c>
      <c r="F30" s="14" t="n">
        <f aca="false">IF(ISNUMBER(E30),IF(E30="","",C30*E30),"")</f>
        <v>322.7805</v>
      </c>
      <c r="G30" s="11" t="s">
        <v>32</v>
      </c>
      <c r="H30" s="12" t="n">
        <v>1</v>
      </c>
      <c r="I30" s="23" t="n">
        <f aca="false">C30-H30</f>
        <v>0</v>
      </c>
    </row>
    <row r="31" customFormat="false" ht="15" hidden="false" customHeight="false" outlineLevel="0" collapsed="false">
      <c r="A31" s="11" t="s">
        <v>161</v>
      </c>
      <c r="B31" s="11" t="s">
        <v>162</v>
      </c>
      <c r="C31" s="11" t="n">
        <f aca="false">SUMIF('BOM by Location'!$E$5:$E$170,A31,'BOM by Location'!$G$5:$G$170)</f>
        <v>1</v>
      </c>
      <c r="D31" s="11" t="s">
        <v>71</v>
      </c>
      <c r="E31" s="14" t="n">
        <f aca="false">IFERROR(IF(INDEX('BOM by Location'!$I$5:$I$170,MATCH(A31,'BOM by Location'!$E$5:$E$170,0))="","",INDEX('BOM by Location'!$I$5:$I$170,MATCH(A31,'BOM by Location'!$E$5:$E$170,0))),"")</f>
        <v>789.4575</v>
      </c>
      <c r="F31" s="14" t="n">
        <f aca="false">IF(ISNUMBER(E31),IF(E31="","",C31*E31),"")</f>
        <v>789.4575</v>
      </c>
      <c r="G31" s="11" t="s">
        <v>32</v>
      </c>
      <c r="H31" s="12" t="n">
        <v>1</v>
      </c>
      <c r="I31" s="23" t="n">
        <f aca="false">C31-H31</f>
        <v>0</v>
      </c>
    </row>
    <row r="32" customFormat="false" ht="15" hidden="false" customHeight="false" outlineLevel="0" collapsed="false">
      <c r="A32" s="11" t="s">
        <v>166</v>
      </c>
      <c r="B32" s="11" t="s">
        <v>167</v>
      </c>
      <c r="C32" s="11" t="n">
        <f aca="false">SUMIF('BOM by Location'!$E$5:$E$170,A32,'BOM by Location'!$G$5:$G$170)</f>
        <v>1</v>
      </c>
      <c r="D32" s="11" t="s">
        <v>71</v>
      </c>
      <c r="E32" s="14" t="n">
        <f aca="false">IFERROR(IF(INDEX('BOM by Location'!$I$5:$I$170,MATCH(A32,'BOM by Location'!$E$5:$E$170,0))="","",INDEX('BOM by Location'!$I$5:$I$170,MATCH(A32,'BOM by Location'!$E$5:$E$170,0))),"")</f>
        <v>414.8775</v>
      </c>
      <c r="F32" s="14" t="n">
        <f aca="false">IF(ISNUMBER(E32),IF(E32="","",C32*E32),"")</f>
        <v>414.8775</v>
      </c>
      <c r="G32" s="11" t="s">
        <v>32</v>
      </c>
      <c r="H32" s="12" t="n">
        <v>1</v>
      </c>
      <c r="I32" s="23" t="n">
        <f aca="false">C32-H32</f>
        <v>0</v>
      </c>
    </row>
    <row r="33" customFormat="false" ht="15" hidden="false" customHeight="false" outlineLevel="0" collapsed="false">
      <c r="A33" s="11" t="s">
        <v>168</v>
      </c>
      <c r="B33" s="11" t="s">
        <v>169</v>
      </c>
      <c r="C33" s="11" t="n">
        <f aca="false">SUMIF('BOM by Location'!$E$5:$E$170,A33,'BOM by Location'!$G$5:$G$170)</f>
        <v>1</v>
      </c>
      <c r="D33" s="11" t="s">
        <v>71</v>
      </c>
      <c r="E33" s="14" t="n">
        <f aca="false">IFERROR(IF(INDEX('BOM by Location'!$I$5:$I$170,MATCH(A33,'BOM by Location'!$E$5:$E$170,0))="","",INDEX('BOM by Location'!$I$5:$I$170,MATCH(A33,'BOM by Location'!$E$5:$E$170,0))),"")</f>
        <v>7.965</v>
      </c>
      <c r="F33" s="14" t="n">
        <f aca="false">IF(ISNUMBER(E33),IF(E33="","",C33*E33),"")</f>
        <v>7.965</v>
      </c>
      <c r="G33" s="11" t="s">
        <v>32</v>
      </c>
      <c r="H33" s="12" t="n">
        <v>1</v>
      </c>
      <c r="I33" s="23" t="n">
        <f aca="false">C33-H33</f>
        <v>0</v>
      </c>
    </row>
    <row r="34" customFormat="false" ht="15" hidden="false" customHeight="false" outlineLevel="0" collapsed="false">
      <c r="A34" s="11" t="s">
        <v>171</v>
      </c>
      <c r="B34" s="11" t="s">
        <v>172</v>
      </c>
      <c r="C34" s="11" t="n">
        <f aca="false">SUMIF('BOM by Location'!$E$5:$E$170,A34,'BOM by Location'!$G$5:$G$170)</f>
        <v>7</v>
      </c>
      <c r="D34" s="11" t="s">
        <v>71</v>
      </c>
      <c r="E34" s="14" t="str">
        <f aca="false">IFERROR(IF(INDEX('BOM by Location'!$I$5:$I$170,MATCH(A34,'BOM by Location'!$E$5:$E$170,0))="","",INDEX('BOM by Location'!$I$5:$I$170,MATCH(A34,'BOM by Location'!$E$5:$E$170,0))),"")</f>
        <v/>
      </c>
      <c r="F34" s="14" t="str">
        <f aca="false">IF(ISNUMBER(E34),IF(E34="","",C34*E34),"")</f>
        <v/>
      </c>
      <c r="G34" s="11" t="s">
        <v>36</v>
      </c>
      <c r="H34" s="12" t="n">
        <v>0</v>
      </c>
      <c r="I34" s="23" t="n">
        <f aca="false">C34-H34</f>
        <v>7</v>
      </c>
    </row>
    <row r="35" customFormat="false" ht="23.85" hidden="false" customHeight="false" outlineLevel="0" collapsed="false">
      <c r="A35" s="11" t="s">
        <v>181</v>
      </c>
      <c r="B35" s="11" t="s">
        <v>182</v>
      </c>
      <c r="C35" s="11" t="n">
        <f aca="false">SUMIF('BOM by Location'!$E$5:$E$170,A35,'BOM by Location'!$G$5:$G$170)</f>
        <v>8</v>
      </c>
      <c r="D35" s="11" t="s">
        <v>71</v>
      </c>
      <c r="E35" s="14" t="str">
        <f aca="false">IFERROR(IF(INDEX('BOM by Location'!$I$5:$I$170,MATCH(A35,'BOM by Location'!$E$5:$E$170,0))="","",INDEX('BOM by Location'!$I$5:$I$170,MATCH(A35,'BOM by Location'!$E$5:$E$170,0))),"")</f>
        <v/>
      </c>
      <c r="F35" s="14" t="str">
        <f aca="false">IF(ISNUMBER(E35),IF(E35="","",C35*E35),"")</f>
        <v/>
      </c>
      <c r="G35" s="11" t="s">
        <v>32</v>
      </c>
      <c r="H35" s="12" t="n">
        <v>8</v>
      </c>
      <c r="I35" s="23" t="n">
        <f aca="false">C35-H35</f>
        <v>0</v>
      </c>
    </row>
    <row r="36" customFormat="false" ht="15" hidden="false" customHeight="false" outlineLevel="0" collapsed="false">
      <c r="A36" s="11" t="s">
        <v>189</v>
      </c>
      <c r="B36" s="11" t="s">
        <v>190</v>
      </c>
      <c r="C36" s="11" t="n">
        <f aca="false">SUMIF('BOM by Location'!$E$5:$E$170,A36,'BOM by Location'!$G$5:$G$170)</f>
        <v>8</v>
      </c>
      <c r="D36" s="11" t="s">
        <v>71</v>
      </c>
      <c r="E36" s="14" t="n">
        <f aca="false">IFERROR(IF(INDEX('BOM by Location'!$I$5:$I$170,MATCH(A36,'BOM by Location'!$E$5:$E$170,0))="","",INDEX('BOM by Location'!$I$5:$I$170,MATCH(A36,'BOM by Location'!$E$5:$E$170,0))),"")</f>
        <v>308.772</v>
      </c>
      <c r="F36" s="14" t="n">
        <f aca="false">IF(ISNUMBER(E36),IF(E36="","",C36*E36),"")</f>
        <v>2470.176</v>
      </c>
      <c r="G36" s="11" t="s">
        <v>32</v>
      </c>
      <c r="H36" s="12" t="n">
        <v>7</v>
      </c>
      <c r="I36" s="23" t="n">
        <f aca="false">C36-H36</f>
        <v>1</v>
      </c>
    </row>
    <row r="37" customFormat="false" ht="15" hidden="false" customHeight="false" outlineLevel="0" collapsed="false">
      <c r="A37" s="11" t="s">
        <v>191</v>
      </c>
      <c r="B37" s="11" t="s">
        <v>192</v>
      </c>
      <c r="C37" s="11" t="n">
        <f aca="false">SUMIF('BOM by Location'!$E$5:$E$170,A37,'BOM by Location'!$G$5:$G$170)</f>
        <v>8</v>
      </c>
      <c r="D37" s="11" t="s">
        <v>71</v>
      </c>
      <c r="E37" s="14" t="n">
        <f aca="false">IFERROR(IF(INDEX('BOM by Location'!$I$5:$I$170,MATCH(A37,'BOM by Location'!$E$5:$E$170,0))="","",INDEX('BOM by Location'!$I$5:$I$170,MATCH(A37,'BOM by Location'!$E$5:$E$170,0))),"")</f>
        <v>88.695</v>
      </c>
      <c r="F37" s="14" t="n">
        <f aca="false">IF(ISNUMBER(E37),IF(E37="","",C37*E37),"")</f>
        <v>709.56</v>
      </c>
      <c r="G37" s="11" t="s">
        <v>32</v>
      </c>
      <c r="H37" s="12" t="n">
        <v>7</v>
      </c>
      <c r="I37" s="23" t="n">
        <f aca="false">C37-H37</f>
        <v>1</v>
      </c>
    </row>
    <row r="38" customFormat="false" ht="15" hidden="false" customHeight="false" outlineLevel="0" collapsed="false">
      <c r="A38" s="11" t="s">
        <v>193</v>
      </c>
      <c r="B38" s="11" t="s">
        <v>194</v>
      </c>
      <c r="C38" s="11" t="n">
        <f aca="false">SUMIF('BOM by Location'!$E$5:$E$170,A38,'BOM by Location'!$G$5:$G$170)</f>
        <v>14</v>
      </c>
      <c r="D38" s="11" t="s">
        <v>71</v>
      </c>
      <c r="E38" s="14" t="n">
        <f aca="false">IFERROR(IF(INDEX('BOM by Location'!$I$5:$I$170,MATCH(A38,'BOM by Location'!$E$5:$E$170,0))="","",INDEX('BOM by Location'!$I$5:$I$170,MATCH(A38,'BOM by Location'!$E$5:$E$170,0))),"")</f>
        <v>18</v>
      </c>
      <c r="F38" s="14" t="n">
        <f aca="false">IF(ISNUMBER(E38),IF(E38="","",C38*E38),"")</f>
        <v>252</v>
      </c>
      <c r="G38" s="11" t="s">
        <v>32</v>
      </c>
      <c r="H38" s="12" t="n">
        <v>12</v>
      </c>
      <c r="I38" s="23" t="n">
        <f aca="false">C38-H38</f>
        <v>2</v>
      </c>
    </row>
    <row r="39" customFormat="false" ht="15" hidden="false" customHeight="false" outlineLevel="0" collapsed="false">
      <c r="A39" s="11" t="s">
        <v>196</v>
      </c>
      <c r="B39" s="11" t="s">
        <v>197</v>
      </c>
      <c r="C39" s="11" t="n">
        <f aca="false">SUMIF('BOM by Location'!$E$5:$E$170,A39,'BOM by Location'!$G$5:$G$170)</f>
        <v>20</v>
      </c>
      <c r="D39" s="11" t="s">
        <v>71</v>
      </c>
      <c r="E39" s="14" t="n">
        <f aca="false">IFERROR(IF(INDEX('BOM by Location'!$I$5:$I$170,MATCH(A39,'BOM by Location'!$E$5:$E$170,0))="","",INDEX('BOM by Location'!$I$5:$I$170,MATCH(A39,'BOM by Location'!$E$5:$E$170,0))),"")</f>
        <v>122.2884</v>
      </c>
      <c r="F39" s="14" t="n">
        <f aca="false">IF(ISNUMBER(E39),IF(E39="","",C39*E39),"")</f>
        <v>2445.768</v>
      </c>
      <c r="G39" s="11" t="s">
        <v>32</v>
      </c>
      <c r="H39" s="12" t="n">
        <v>19</v>
      </c>
      <c r="I39" s="23" t="n">
        <f aca="false">C39-H39</f>
        <v>1</v>
      </c>
    </row>
    <row r="40" customFormat="false" ht="15" hidden="false" customHeight="false" outlineLevel="0" collapsed="false">
      <c r="A40" s="11" t="s">
        <v>199</v>
      </c>
      <c r="B40" s="11" t="s">
        <v>200</v>
      </c>
      <c r="C40" s="11" t="n">
        <f aca="false">SUMIF('BOM by Location'!$E$5:$E$170,A40,'BOM by Location'!$G$5:$G$170)</f>
        <v>19</v>
      </c>
      <c r="D40" s="11" t="s">
        <v>71</v>
      </c>
      <c r="E40" s="14" t="n">
        <f aca="false">IFERROR(IF(INDEX('BOM by Location'!$I$5:$I$170,MATCH(A40,'BOM by Location'!$E$5:$E$170,0))="","",INDEX('BOM by Location'!$I$5:$I$170,MATCH(A40,'BOM by Location'!$E$5:$E$170,0))),"")</f>
        <v>63</v>
      </c>
      <c r="F40" s="14" t="n">
        <f aca="false">IF(ISNUMBER(E40),IF(E40="","",C40*E40),"")</f>
        <v>1197</v>
      </c>
      <c r="G40" s="11" t="s">
        <v>32</v>
      </c>
      <c r="H40" s="12" t="n">
        <v>18</v>
      </c>
      <c r="I40" s="23" t="n">
        <f aca="false">C40-H40</f>
        <v>1</v>
      </c>
    </row>
    <row r="41" customFormat="false" ht="15" hidden="false" customHeight="false" outlineLevel="0" collapsed="false">
      <c r="A41" s="11" t="s">
        <v>202</v>
      </c>
      <c r="B41" s="11" t="s">
        <v>203</v>
      </c>
      <c r="C41" s="11" t="n">
        <f aca="false">SUMIF('BOM by Location'!$E$5:$E$170,A41,'BOM by Location'!$G$5:$G$170)</f>
        <v>8</v>
      </c>
      <c r="D41" s="11" t="s">
        <v>71</v>
      </c>
      <c r="E41" s="14" t="n">
        <f aca="false">IFERROR(IF(INDEX('BOM by Location'!$I$5:$I$170,MATCH(A41,'BOM by Location'!$E$5:$E$170,0))="","",INDEX('BOM by Location'!$I$5:$I$170,MATCH(A41,'BOM by Location'!$E$5:$E$170,0))),"")</f>
        <v>137.268</v>
      </c>
      <c r="F41" s="14" t="n">
        <f aca="false">IF(ISNUMBER(E41),IF(E41="","",C41*E41),"")</f>
        <v>1098.144</v>
      </c>
      <c r="G41" s="11" t="s">
        <v>32</v>
      </c>
      <c r="H41" s="12" t="n">
        <v>7</v>
      </c>
      <c r="I41" s="23" t="n">
        <f aca="false">C41-H41</f>
        <v>1</v>
      </c>
    </row>
    <row r="42" customFormat="false" ht="15" hidden="false" customHeight="false" outlineLevel="0" collapsed="false">
      <c r="A42" s="11" t="s">
        <v>205</v>
      </c>
      <c r="B42" s="11" t="s">
        <v>206</v>
      </c>
      <c r="C42" s="11" t="n">
        <f aca="false">SUMIF('BOM by Location'!$E$5:$E$170,A42,'BOM by Location'!$G$5:$G$170)</f>
        <v>7</v>
      </c>
      <c r="D42" s="11" t="s">
        <v>71</v>
      </c>
      <c r="E42" s="14" t="n">
        <f aca="false">IFERROR(IF(INDEX('BOM by Location'!$I$5:$I$170,MATCH(A42,'BOM by Location'!$E$5:$E$170,0))="","",INDEX('BOM by Location'!$I$5:$I$170,MATCH(A42,'BOM by Location'!$E$5:$E$170,0))),"")</f>
        <v>58</v>
      </c>
      <c r="F42" s="14" t="n">
        <f aca="false">IF(ISNUMBER(E42),IF(E42="","",C42*E42),"")</f>
        <v>406</v>
      </c>
      <c r="G42" s="11" t="s">
        <v>32</v>
      </c>
      <c r="H42" s="12" t="n">
        <v>6</v>
      </c>
      <c r="I42" s="23" t="n">
        <f aca="false">C42-H42</f>
        <v>1</v>
      </c>
    </row>
    <row r="43" customFormat="false" ht="15" hidden="false" customHeight="false" outlineLevel="0" collapsed="false">
      <c r="A43" s="11" t="s">
        <v>209</v>
      </c>
      <c r="B43" s="11" t="s">
        <v>210</v>
      </c>
      <c r="C43" s="11" t="n">
        <f aca="false">SUMIF('BOM by Location'!$E$5:$E$170,A43,'BOM by Location'!$G$5:$G$170)</f>
        <v>6</v>
      </c>
      <c r="D43" s="11" t="s">
        <v>71</v>
      </c>
      <c r="E43" s="14" t="n">
        <f aca="false">IFERROR(IF(INDEX('BOM by Location'!$I$5:$I$170,MATCH(A43,'BOM by Location'!$E$5:$E$170,0))="","",INDEX('BOM by Location'!$I$5:$I$170,MATCH(A43,'BOM by Location'!$E$5:$E$170,0))),"")</f>
        <v>800</v>
      </c>
      <c r="F43" s="14" t="n">
        <f aca="false">IF(ISNUMBER(E43),IF(E43="","",C43*E43),"")</f>
        <v>4800</v>
      </c>
      <c r="G43" s="11" t="s">
        <v>32</v>
      </c>
      <c r="H43" s="12" t="n">
        <v>6</v>
      </c>
      <c r="I43" s="23" t="n">
        <f aca="false">C43-H43</f>
        <v>0</v>
      </c>
    </row>
    <row r="44" customFormat="false" ht="15" hidden="false" customHeight="false" outlineLevel="0" collapsed="false">
      <c r="A44" s="11" t="s">
        <v>212</v>
      </c>
      <c r="B44" s="11" t="s">
        <v>213</v>
      </c>
      <c r="C44" s="11" t="n">
        <f aca="false">SUMIF('BOM by Location'!$E$5:$E$170,A44,'BOM by Location'!$G$5:$G$170)</f>
        <v>6</v>
      </c>
      <c r="D44" s="11" t="s">
        <v>71</v>
      </c>
      <c r="E44" s="14" t="n">
        <f aca="false">IFERROR(IF(INDEX('BOM by Location'!$I$5:$I$170,MATCH(A44,'BOM by Location'!$E$5:$E$170,0))="","",INDEX('BOM by Location'!$I$5:$I$170,MATCH(A44,'BOM by Location'!$E$5:$E$170,0))),"")</f>
        <v>40</v>
      </c>
      <c r="F44" s="14" t="n">
        <f aca="false">IF(ISNUMBER(E44),IF(E44="","",C44*E44),"")</f>
        <v>240</v>
      </c>
      <c r="G44" s="11" t="s">
        <v>32</v>
      </c>
      <c r="H44" s="12" t="n">
        <v>6</v>
      </c>
      <c r="I44" s="23" t="n">
        <f aca="false">C44-H44</f>
        <v>0</v>
      </c>
    </row>
    <row r="45" customFormat="false" ht="15" hidden="false" customHeight="false" outlineLevel="0" collapsed="false">
      <c r="A45" s="11" t="s">
        <v>215</v>
      </c>
      <c r="B45" s="11" t="s">
        <v>216</v>
      </c>
      <c r="C45" s="11" t="n">
        <f aca="false">SUMIF('BOM by Location'!$E$5:$E$170,A45,'BOM by Location'!$G$5:$G$170)</f>
        <v>8</v>
      </c>
      <c r="D45" s="11" t="s">
        <v>71</v>
      </c>
      <c r="E45" s="14" t="n">
        <f aca="false">IFERROR(IF(INDEX('BOM by Location'!$I$5:$I$170,MATCH(A45,'BOM by Location'!$E$5:$E$170,0))="","",INDEX('BOM by Location'!$I$5:$I$170,MATCH(A45,'BOM by Location'!$E$5:$E$170,0))),"")</f>
        <v>1106</v>
      </c>
      <c r="F45" s="14" t="n">
        <f aca="false">IF(ISNUMBER(E45),IF(E45="","",C45*E45),"")</f>
        <v>8848</v>
      </c>
      <c r="G45" s="11" t="s">
        <v>32</v>
      </c>
      <c r="H45" s="12" t="n">
        <v>7</v>
      </c>
      <c r="I45" s="23" t="n">
        <f aca="false">C45-H45</f>
        <v>1</v>
      </c>
    </row>
    <row r="46" customFormat="false" ht="15" hidden="false" customHeight="false" outlineLevel="0" collapsed="false">
      <c r="A46" s="11" t="s">
        <v>217</v>
      </c>
      <c r="B46" s="11" t="s">
        <v>218</v>
      </c>
      <c r="C46" s="11" t="n">
        <f aca="false">SUMIF('BOM by Location'!$E$5:$E$170,A46,'BOM by Location'!$G$5:$G$170)</f>
        <v>8</v>
      </c>
      <c r="D46" s="11" t="s">
        <v>71</v>
      </c>
      <c r="E46" s="14" t="n">
        <f aca="false">IFERROR(IF(INDEX('BOM by Location'!$I$5:$I$170,MATCH(A46,'BOM by Location'!$E$5:$E$170,0))="","",INDEX('BOM by Location'!$I$5:$I$170,MATCH(A46,'BOM by Location'!$E$5:$E$170,0))),"")</f>
        <v>99</v>
      </c>
      <c r="F46" s="14" t="n">
        <f aca="false">IF(ISNUMBER(E46),IF(E46="","",C46*E46),"")</f>
        <v>792</v>
      </c>
      <c r="G46" s="11" t="s">
        <v>32</v>
      </c>
      <c r="H46" s="12" t="n">
        <v>7</v>
      </c>
      <c r="I46" s="23" t="n">
        <f aca="false">C46-H46</f>
        <v>1</v>
      </c>
    </row>
    <row r="47" customFormat="false" ht="15" hidden="false" customHeight="false" outlineLevel="0" collapsed="false">
      <c r="A47" s="11" t="s">
        <v>219</v>
      </c>
      <c r="B47" s="11" t="s">
        <v>220</v>
      </c>
      <c r="C47" s="11" t="n">
        <f aca="false">SUMIF('BOM by Location'!$E$5:$E$170,A47,'BOM by Location'!$G$5:$G$170)</f>
        <v>10</v>
      </c>
      <c r="D47" s="11" t="s">
        <v>71</v>
      </c>
      <c r="E47" s="14" t="n">
        <f aca="false">IFERROR(IF(INDEX('BOM by Location'!$I$5:$I$170,MATCH(A47,'BOM by Location'!$E$5:$E$170,0))="","",INDEX('BOM by Location'!$I$5:$I$170,MATCH(A47,'BOM by Location'!$E$5:$E$170,0))),"")</f>
        <v>230</v>
      </c>
      <c r="F47" s="14" t="n">
        <f aca="false">IF(ISNUMBER(E47),IF(E47="","",C47*E47),"")</f>
        <v>2300</v>
      </c>
      <c r="G47" s="11" t="s">
        <v>32</v>
      </c>
      <c r="H47" s="12" t="n">
        <v>9</v>
      </c>
      <c r="I47" s="23" t="n">
        <f aca="false">C47-H47</f>
        <v>1</v>
      </c>
    </row>
    <row r="48" customFormat="false" ht="15" hidden="false" customHeight="false" outlineLevel="0" collapsed="false">
      <c r="A48" s="11" t="s">
        <v>222</v>
      </c>
      <c r="B48" s="11" t="s">
        <v>223</v>
      </c>
      <c r="C48" s="11" t="n">
        <f aca="false">SUMIF('BOM by Location'!$E$5:$E$170,A48,'BOM by Location'!$G$5:$G$170)</f>
        <v>5</v>
      </c>
      <c r="D48" s="11" t="s">
        <v>71</v>
      </c>
      <c r="E48" s="14" t="str">
        <f aca="false">IFERROR(IF(INDEX('BOM by Location'!$I$5:$I$170,MATCH(A48,'BOM by Location'!$E$5:$E$170,0))="","",INDEX('BOM by Location'!$I$5:$I$170,MATCH(A48,'BOM by Location'!$E$5:$E$170,0))),"")</f>
        <v/>
      </c>
      <c r="F48" s="14" t="str">
        <f aca="false">IF(ISNUMBER(E48),IF(E48="","",C48*E48),"")</f>
        <v/>
      </c>
      <c r="G48" s="11" t="s">
        <v>32</v>
      </c>
      <c r="H48" s="12" t="n">
        <v>5</v>
      </c>
      <c r="I48" s="23" t="n">
        <f aca="false">C48-H48</f>
        <v>0</v>
      </c>
    </row>
    <row r="49" customFormat="false" ht="15" hidden="false" customHeight="false" outlineLevel="0" collapsed="false">
      <c r="A49" s="11" t="s">
        <v>228</v>
      </c>
      <c r="B49" s="11" t="s">
        <v>229</v>
      </c>
      <c r="C49" s="11" t="n">
        <f aca="false">SUMIF('BOM by Location'!$E$5:$E$170,A49,'BOM by Location'!$G$5:$G$170)</f>
        <v>4</v>
      </c>
      <c r="D49" s="11" t="s">
        <v>71</v>
      </c>
      <c r="E49" s="14" t="str">
        <f aca="false">IFERROR(IF(INDEX('BOM by Location'!$I$5:$I$170,MATCH(A49,'BOM by Location'!$E$5:$E$170,0))="","",INDEX('BOM by Location'!$I$5:$I$170,MATCH(A49,'BOM by Location'!$E$5:$E$170,0))),"")</f>
        <v/>
      </c>
      <c r="F49" s="14" t="str">
        <f aca="false">IF(ISNUMBER(E49),IF(E49="","",C49*E49),"")</f>
        <v/>
      </c>
      <c r="G49" s="11" t="s">
        <v>36</v>
      </c>
      <c r="H49" s="12" t="n">
        <v>0</v>
      </c>
      <c r="I49" s="23" t="n">
        <f aca="false">C49-H49</f>
        <v>4</v>
      </c>
    </row>
    <row r="50" customFormat="false" ht="15" hidden="false" customHeight="false" outlineLevel="0" collapsed="false">
      <c r="A50" s="11" t="s">
        <v>230</v>
      </c>
      <c r="B50" s="11" t="s">
        <v>231</v>
      </c>
      <c r="C50" s="11" t="n">
        <f aca="false">SUMIF('BOM by Location'!$E$5:$E$170,A50,'BOM by Location'!$G$5:$G$170)</f>
        <v>4</v>
      </c>
      <c r="D50" s="11" t="s">
        <v>71</v>
      </c>
      <c r="E50" s="14" t="str">
        <f aca="false">IFERROR(IF(INDEX('BOM by Location'!$I$5:$I$170,MATCH(A50,'BOM by Location'!$E$5:$E$170,0))="","",INDEX('BOM by Location'!$I$5:$I$170,MATCH(A50,'BOM by Location'!$E$5:$E$170,0))),"")</f>
        <v/>
      </c>
      <c r="F50" s="14" t="str">
        <f aca="false">IF(ISNUMBER(E50),IF(E50="","",C50*E50),"")</f>
        <v/>
      </c>
      <c r="G50" s="11" t="s">
        <v>34</v>
      </c>
      <c r="H50" s="12" t="n">
        <v>0</v>
      </c>
      <c r="I50" s="23" t="n">
        <f aca="false">C50-H50</f>
        <v>4</v>
      </c>
    </row>
    <row r="51" customFormat="false" ht="15" hidden="false" customHeight="false" outlineLevel="0" collapsed="false">
      <c r="A51" s="11" t="s">
        <v>275</v>
      </c>
      <c r="B51" s="11" t="s">
        <v>276</v>
      </c>
      <c r="C51" s="11" t="n">
        <f aca="false">SUMIF('BOM by Location'!$E$5:$E$170,A51,'BOM by Location'!$G$5:$G$170)</f>
        <v>1500</v>
      </c>
      <c r="D51" s="11" t="s">
        <v>277</v>
      </c>
      <c r="E51" s="14" t="str">
        <f aca="false">IFERROR(IF(INDEX('BOM by Location'!$I$5:$I$170,MATCH(A51,'BOM by Location'!$E$5:$E$170,0))="","",INDEX('BOM by Location'!$I$5:$I$170,MATCH(A51,'BOM by Location'!$E$5:$E$170,0))),"")</f>
        <v/>
      </c>
      <c r="F51" s="14" t="str">
        <f aca="false">IF(ISNUMBER(E51),IF(E51="","",C51*E51),"")</f>
        <v/>
      </c>
      <c r="G51" s="11" t="s">
        <v>36</v>
      </c>
      <c r="H51" s="12" t="n">
        <v>0</v>
      </c>
      <c r="I51" s="23" t="n">
        <f aca="false">C51-H51</f>
        <v>1500</v>
      </c>
    </row>
    <row r="52" customFormat="false" ht="15" hidden="false" customHeight="false" outlineLevel="0" collapsed="false">
      <c r="A52" s="11" t="s">
        <v>279</v>
      </c>
      <c r="B52" s="11" t="s">
        <v>280</v>
      </c>
      <c r="C52" s="11" t="n">
        <f aca="false">SUMIF('BOM by Location'!$E$5:$E$170,A52,'BOM by Location'!$G$5:$G$170)</f>
        <v>6</v>
      </c>
      <c r="D52" s="11" t="s">
        <v>71</v>
      </c>
      <c r="E52" s="14" t="str">
        <f aca="false">IFERROR(IF(INDEX('BOM by Location'!$I$5:$I$170,MATCH(A52,'BOM by Location'!$E$5:$E$170,0))="","",INDEX('BOM by Location'!$I$5:$I$170,MATCH(A52,'BOM by Location'!$E$5:$E$170,0))),"")</f>
        <v/>
      </c>
      <c r="F52" s="14" t="str">
        <f aca="false">IF(ISNUMBER(E52),IF(E52="","",C52*E52),"")</f>
        <v/>
      </c>
      <c r="G52" s="11" t="s">
        <v>36</v>
      </c>
      <c r="H52" s="12" t="n">
        <v>0</v>
      </c>
      <c r="I52" s="23" t="n">
        <f aca="false">C52-H52</f>
        <v>6</v>
      </c>
    </row>
    <row r="53" customFormat="false" ht="15" hidden="false" customHeight="false" outlineLevel="0" collapsed="false">
      <c r="A53" s="11" t="s">
        <v>282</v>
      </c>
      <c r="B53" s="11" t="s">
        <v>283</v>
      </c>
      <c r="C53" s="11" t="n">
        <f aca="false">SUMIF('BOM by Location'!$E$5:$E$170,A53,'BOM by Location'!$G$5:$G$170)</f>
        <v>12</v>
      </c>
      <c r="D53" s="11" t="s">
        <v>71</v>
      </c>
      <c r="E53" s="14" t="str">
        <f aca="false">IFERROR(IF(INDEX('BOM by Location'!$I$5:$I$170,MATCH(A53,'BOM by Location'!$E$5:$E$170,0))="","",INDEX('BOM by Location'!$I$5:$I$170,MATCH(A53,'BOM by Location'!$E$5:$E$170,0))),"")</f>
        <v/>
      </c>
      <c r="F53" s="14" t="str">
        <f aca="false">IF(ISNUMBER(E53),IF(E53="","",C53*E53),"")</f>
        <v/>
      </c>
      <c r="G53" s="11" t="s">
        <v>36</v>
      </c>
      <c r="H53" s="12" t="n">
        <v>0</v>
      </c>
      <c r="I53" s="23" t="n">
        <f aca="false">C53-H53</f>
        <v>12</v>
      </c>
    </row>
    <row r="54" customFormat="false" ht="15" hidden="false" customHeight="false" outlineLevel="0" collapsed="false">
      <c r="A54" s="11" t="s">
        <v>285</v>
      </c>
      <c r="B54" s="11" t="s">
        <v>286</v>
      </c>
      <c r="C54" s="11" t="n">
        <f aca="false">SUMIF('BOM by Location'!$E$5:$E$170,A54,'BOM by Location'!$G$5:$G$170)</f>
        <v>500</v>
      </c>
      <c r="D54" s="11" t="s">
        <v>277</v>
      </c>
      <c r="E54" s="14" t="str">
        <f aca="false">IFERROR(IF(INDEX('BOM by Location'!$I$5:$I$170,MATCH(A54,'BOM by Location'!$E$5:$E$170,0))="","",INDEX('BOM by Location'!$I$5:$I$170,MATCH(A54,'BOM by Location'!$E$5:$E$170,0))),"")</f>
        <v/>
      </c>
      <c r="F54" s="14" t="str">
        <f aca="false">IF(ISNUMBER(E54),IF(E54="","",C54*E54),"")</f>
        <v/>
      </c>
      <c r="G54" s="11" t="s">
        <v>36</v>
      </c>
      <c r="H54" s="12" t="n">
        <v>0</v>
      </c>
      <c r="I54" s="23" t="n">
        <f aca="false">C54-H54</f>
        <v>500</v>
      </c>
    </row>
    <row r="55" customFormat="false" ht="15" hidden="false" customHeight="false" outlineLevel="0" collapsed="false">
      <c r="A55" s="11" t="s">
        <v>288</v>
      </c>
      <c r="B55" s="11" t="s">
        <v>289</v>
      </c>
      <c r="C55" s="11" t="n">
        <f aca="false">SUMIF('BOM by Location'!$E$5:$E$170,A55,'BOM by Location'!$G$5:$G$170)</f>
        <v>100</v>
      </c>
      <c r="D55" s="11" t="s">
        <v>71</v>
      </c>
      <c r="E55" s="14" t="str">
        <f aca="false">IFERROR(IF(INDEX('BOM by Location'!$I$5:$I$170,MATCH(A55,'BOM by Location'!$E$5:$E$170,0))="","",INDEX('BOM by Location'!$I$5:$I$170,MATCH(A55,'BOM by Location'!$E$5:$E$170,0))),"")</f>
        <v/>
      </c>
      <c r="F55" s="14" t="str">
        <f aca="false">IF(ISNUMBER(E55),IF(E55="","",C55*E55),"")</f>
        <v/>
      </c>
      <c r="G55" s="11" t="s">
        <v>36</v>
      </c>
      <c r="H55" s="12" t="n">
        <v>0</v>
      </c>
      <c r="I55" s="23" t="n">
        <f aca="false">C55-H55</f>
        <v>100</v>
      </c>
    </row>
    <row r="56" customFormat="false" ht="15" hidden="false" customHeight="false" outlineLevel="0" collapsed="false">
      <c r="A56" s="11" t="s">
        <v>291</v>
      </c>
      <c r="B56" s="11" t="s">
        <v>292</v>
      </c>
      <c r="C56" s="11" t="n">
        <f aca="false">SUMIF('BOM by Location'!$E$5:$E$170,A56,'BOM by Location'!$G$5:$G$170)</f>
        <v>600</v>
      </c>
      <c r="D56" s="11" t="s">
        <v>277</v>
      </c>
      <c r="E56" s="14" t="str">
        <f aca="false">IFERROR(IF(INDEX('BOM by Location'!$I$5:$I$170,MATCH(A56,'BOM by Location'!$E$5:$E$170,0))="","",INDEX('BOM by Location'!$I$5:$I$170,MATCH(A56,'BOM by Location'!$E$5:$E$170,0))),"")</f>
        <v/>
      </c>
      <c r="F56" s="14" t="str">
        <f aca="false">IF(ISNUMBER(E56),IF(E56="","",C56*E56),"")</f>
        <v/>
      </c>
      <c r="G56" s="11" t="s">
        <v>36</v>
      </c>
      <c r="H56" s="12" t="n">
        <v>0</v>
      </c>
      <c r="I56" s="23" t="n">
        <f aca="false">C56-H56</f>
        <v>600</v>
      </c>
    </row>
    <row r="57" customFormat="false" ht="15" hidden="false" customHeight="false" outlineLevel="0" collapsed="false">
      <c r="A57" s="11" t="s">
        <v>295</v>
      </c>
      <c r="B57" s="11" t="s">
        <v>296</v>
      </c>
      <c r="C57" s="11" t="n">
        <f aca="false">SUMIF('BOM by Location'!$E$5:$E$170,A57,'BOM by Location'!$G$5:$G$170)</f>
        <v>1</v>
      </c>
      <c r="D57" s="11" t="s">
        <v>114</v>
      </c>
      <c r="E57" s="14" t="str">
        <f aca="false">IFERROR(IF(INDEX('BOM by Location'!$I$5:$I$170,MATCH(A57,'BOM by Location'!$E$5:$E$170,0))="","",INDEX('BOM by Location'!$I$5:$I$170,MATCH(A57,'BOM by Location'!$E$5:$E$170,0))),"")</f>
        <v/>
      </c>
      <c r="F57" s="14" t="str">
        <f aca="false">IF(ISNUMBER(E57),IF(E57="","",C57*E57),"")</f>
        <v/>
      </c>
      <c r="G57" s="11" t="s">
        <v>36</v>
      </c>
      <c r="H57" s="12" t="n">
        <v>0</v>
      </c>
      <c r="I57" s="23" t="n">
        <f aca="false">C57-H57</f>
        <v>1</v>
      </c>
    </row>
    <row r="58" customFormat="false" ht="15" hidden="false" customHeight="false" outlineLevel="0" collapsed="false">
      <c r="A58" s="11" t="s">
        <v>302</v>
      </c>
      <c r="B58" s="11" t="s">
        <v>303</v>
      </c>
      <c r="C58" s="11" t="n">
        <f aca="false">SUMIF('BOM by Location'!$E$5:$E$170,A58,'BOM by Location'!$G$5:$G$170)</f>
        <v>4</v>
      </c>
      <c r="D58" s="11" t="s">
        <v>71</v>
      </c>
      <c r="E58" s="14" t="n">
        <f aca="false">IFERROR(IF(INDEX('BOM by Location'!$I$5:$I$170,MATCH(A58,'BOM by Location'!$E$5:$E$170,0))="","",INDEX('BOM by Location'!$I$5:$I$170,MATCH(A58,'BOM by Location'!$E$5:$E$170,0))),"")</f>
        <v>0</v>
      </c>
      <c r="F58" s="14" t="n">
        <f aca="false">IF(ISNUMBER(E58),IF(E58="","",C58*E58),"")</f>
        <v>0</v>
      </c>
      <c r="G58" s="11" t="s">
        <v>38</v>
      </c>
      <c r="H58" s="12" t="n">
        <v>0</v>
      </c>
      <c r="I58" s="23" t="n">
        <f aca="false">C58-H58</f>
        <v>4</v>
      </c>
    </row>
    <row r="59" customFormat="false" ht="15" hidden="false" customHeight="false" outlineLevel="0" collapsed="false">
      <c r="A59" s="11" t="s">
        <v>307</v>
      </c>
      <c r="B59" s="11" t="s">
        <v>308</v>
      </c>
      <c r="C59" s="11" t="n">
        <f aca="false">SUMIF('BOM by Location'!$E$5:$E$170,A59,'BOM by Location'!$G$5:$G$170)</f>
        <v>1</v>
      </c>
      <c r="D59" s="11" t="s">
        <v>114</v>
      </c>
      <c r="E59" s="14" t="n">
        <f aca="false">IFERROR(IF(INDEX('BOM by Location'!$I$5:$I$170,MATCH(A59,'BOM by Location'!$E$5:$E$170,0))="","",INDEX('BOM by Location'!$I$5:$I$170,MATCH(A59,'BOM by Location'!$E$5:$E$170,0))),"")</f>
        <v>0</v>
      </c>
      <c r="F59" s="14" t="n">
        <f aca="false">IF(ISNUMBER(E59),IF(E59="","",C59*E59),"")</f>
        <v>0</v>
      </c>
      <c r="G59" s="11" t="s">
        <v>38</v>
      </c>
      <c r="H59" s="12" t="n">
        <v>0</v>
      </c>
      <c r="I59" s="23" t="n">
        <f aca="false">C59-H59</f>
        <v>1</v>
      </c>
    </row>
    <row r="60" customFormat="false" ht="15" hidden="false" customHeight="false" outlineLevel="0" collapsed="false">
      <c r="A60" s="11" t="s">
        <v>312</v>
      </c>
      <c r="B60" s="11" t="s">
        <v>313</v>
      </c>
      <c r="C60" s="11" t="n">
        <f aca="false">SUMIF('BOM by Location'!$E$5:$E$170,A60,'BOM by Location'!$G$5:$G$170)</f>
        <v>2</v>
      </c>
      <c r="D60" s="11" t="s">
        <v>71</v>
      </c>
      <c r="E60" s="14" t="n">
        <f aca="false">IFERROR(IF(INDEX('BOM by Location'!$I$5:$I$170,MATCH(A60,'BOM by Location'!$E$5:$E$170,0))="","",INDEX('BOM by Location'!$I$5:$I$170,MATCH(A60,'BOM by Location'!$E$5:$E$170,0))),"")</f>
        <v>0</v>
      </c>
      <c r="F60" s="14" t="n">
        <f aca="false">IF(ISNUMBER(E60),IF(E60="","",C60*E60),"")</f>
        <v>0</v>
      </c>
      <c r="G60" s="11" t="s">
        <v>38</v>
      </c>
      <c r="H60" s="12" t="n">
        <v>0</v>
      </c>
      <c r="I60" s="23" t="n">
        <f aca="false">C60-H60</f>
        <v>2</v>
      </c>
    </row>
    <row r="61" customFormat="false" ht="15" hidden="false" customHeight="false" outlineLevel="0" collapsed="false">
      <c r="A61" s="11" t="s">
        <v>316</v>
      </c>
      <c r="B61" s="11" t="s">
        <v>317</v>
      </c>
      <c r="C61" s="11" t="n">
        <f aca="false">SUMIF('BOM by Location'!$E$5:$E$170,A61,'BOM by Location'!$G$5:$G$170)</f>
        <v>1</v>
      </c>
      <c r="D61" s="11" t="s">
        <v>114</v>
      </c>
      <c r="E61" s="14" t="n">
        <f aca="false">IFERROR(IF(INDEX('BOM by Location'!$I$5:$I$170,MATCH(A61,'BOM by Location'!$E$5:$E$170,0))="","",INDEX('BOM by Location'!$I$5:$I$170,MATCH(A61,'BOM by Location'!$E$5:$E$170,0))),"")</f>
        <v>0</v>
      </c>
      <c r="F61" s="14" t="n">
        <f aca="false">IF(ISNUMBER(E61),IF(E61="","",C61*E61),"")</f>
        <v>0</v>
      </c>
      <c r="G61" s="11" t="s">
        <v>38</v>
      </c>
      <c r="H61" s="12" t="n">
        <v>0</v>
      </c>
      <c r="I61" s="23" t="n">
        <f aca="false">C61-H61</f>
        <v>1</v>
      </c>
    </row>
    <row r="62" customFormat="false" ht="15" hidden="false" customHeight="false" outlineLevel="0" collapsed="false">
      <c r="A62" s="11" t="s">
        <v>320</v>
      </c>
      <c r="B62" s="11" t="s">
        <v>321</v>
      </c>
      <c r="C62" s="11" t="n">
        <f aca="false">SUMIF('BOM by Location'!$E$5:$E$170,A62,'BOM by Location'!$G$5:$G$170)</f>
        <v>2</v>
      </c>
      <c r="D62" s="11" t="s">
        <v>71</v>
      </c>
      <c r="E62" s="14" t="n">
        <f aca="false">IFERROR(IF(INDEX('BOM by Location'!$I$5:$I$170,MATCH(A62,'BOM by Location'!$E$5:$E$170,0))="","",INDEX('BOM by Location'!$I$5:$I$170,MATCH(A62,'BOM by Location'!$E$5:$E$170,0))),"")</f>
        <v>0</v>
      </c>
      <c r="F62" s="14" t="n">
        <f aca="false">IF(ISNUMBER(E62),IF(E62="","",C62*E62),"")</f>
        <v>0</v>
      </c>
      <c r="G62" s="11" t="s">
        <v>38</v>
      </c>
      <c r="H62" s="12" t="n">
        <v>0</v>
      </c>
      <c r="I62" s="23" t="n">
        <f aca="false">C62-H62</f>
        <v>2</v>
      </c>
    </row>
    <row r="63" customFormat="false" ht="15" hidden="false" customHeight="false" outlineLevel="0" collapsed="false">
      <c r="A63" s="11" t="s">
        <v>324</v>
      </c>
      <c r="B63" s="11" t="s">
        <v>325</v>
      </c>
      <c r="C63" s="11" t="n">
        <f aca="false">SUMIF('BOM by Location'!$E$5:$E$170,A63,'BOM by Location'!$G$5:$G$170)</f>
        <v>1</v>
      </c>
      <c r="D63" s="11" t="s">
        <v>71</v>
      </c>
      <c r="E63" s="14" t="str">
        <f aca="false">IFERROR(IF(INDEX('BOM by Location'!$I$5:$I$170,MATCH(A63,'BOM by Location'!$E$5:$E$170,0))="","",INDEX('BOM by Location'!$I$5:$I$170,MATCH(A63,'BOM by Location'!$E$5:$E$170,0))),"")</f>
        <v/>
      </c>
      <c r="F63" s="14" t="str">
        <f aca="false">IF(ISNUMBER(E63),IF(E63="","",C63*E63),"")</f>
        <v/>
      </c>
      <c r="G63" s="11" t="s">
        <v>36</v>
      </c>
      <c r="H63" s="12" t="n">
        <v>0</v>
      </c>
      <c r="I63" s="23" t="n">
        <f aca="false">C63-H63</f>
        <v>1</v>
      </c>
    </row>
    <row r="64" customFormat="false" ht="15" hidden="false" customHeight="false" outlineLevel="0" collapsed="false">
      <c r="A64" s="11" t="s">
        <v>331</v>
      </c>
      <c r="B64" s="11" t="s">
        <v>332</v>
      </c>
      <c r="C64" s="11" t="n">
        <f aca="false">SUMIF('BOM by Location'!$E$5:$E$170,A64,'BOM by Location'!$G$5:$G$170)</f>
        <v>1</v>
      </c>
      <c r="D64" s="11" t="s">
        <v>114</v>
      </c>
      <c r="E64" s="14" t="n">
        <f aca="false">IFERROR(IF(INDEX('BOM by Location'!$I$5:$I$170,MATCH(A64,'BOM by Location'!$E$5:$E$170,0))="","",INDEX('BOM by Location'!$I$5:$I$170,MATCH(A64,'BOM by Location'!$E$5:$E$170,0))),"")</f>
        <v>37567</v>
      </c>
      <c r="F64" s="14" t="n">
        <f aca="false">IF(ISNUMBER(E64),IF(E64="","",C64*E64),"")</f>
        <v>37567</v>
      </c>
      <c r="G64" s="11" t="s">
        <v>32</v>
      </c>
      <c r="H64" s="12" t="n">
        <v>1</v>
      </c>
      <c r="I64" s="23" t="n">
        <f aca="false">C64-H64</f>
        <v>0</v>
      </c>
    </row>
    <row r="65" customFormat="false" ht="15" hidden="false" customHeight="false" outlineLevel="0" collapsed="false">
      <c r="A65" s="11" t="s">
        <v>334</v>
      </c>
      <c r="B65" s="11" t="s">
        <v>335</v>
      </c>
      <c r="C65" s="11" t="n">
        <f aca="false">SUMIF('BOM by Location'!$E$5:$E$170,A65,'BOM by Location'!$G$5:$G$170)</f>
        <v>1</v>
      </c>
      <c r="D65" s="11" t="s">
        <v>114</v>
      </c>
      <c r="E65" s="14" t="str">
        <f aca="false">IFERROR(IF(INDEX('BOM by Location'!$I$5:$I$170,MATCH(A65,'BOM by Location'!$E$5:$E$170,0))="","",INDEX('BOM by Location'!$I$5:$I$170,MATCH(A65,'BOM by Location'!$E$5:$E$170,0))),"")</f>
        <v/>
      </c>
      <c r="F65" s="14" t="str">
        <f aca="false">IF(ISNUMBER(E65),IF(E65="","",C65*E65),"")</f>
        <v/>
      </c>
      <c r="G65" s="11" t="s">
        <v>36</v>
      </c>
      <c r="H65" s="12" t="n">
        <v>0</v>
      </c>
      <c r="I65" s="23" t="n">
        <f aca="false">C65-H65</f>
        <v>1</v>
      </c>
    </row>
    <row r="66" customFormat="false" ht="15" hidden="false" customHeight="false" outlineLevel="0" collapsed="false">
      <c r="B66" s="2" t="s">
        <v>362</v>
      </c>
      <c r="F66" s="20" t="n">
        <f aca="false">SUM(F4:F65)</f>
        <v>104639.18645644</v>
      </c>
    </row>
    <row r="67" customFormat="false" ht="15" hidden="false" customHeight="false" outlineLevel="0" collapsed="false">
      <c r="B67" s="21" t="s">
        <v>363</v>
      </c>
      <c r="F67" s="2" t="str">
        <f aca="false">IF(ABS(F66-'BOM by Location'!J172)&lt;0.01,"OK","MISMATCH")</f>
        <v>OK</v>
      </c>
    </row>
  </sheetData>
  <autoFilter ref="A3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364</v>
      </c>
    </row>
    <row r="3" customFormat="false" ht="15" hidden="false" customHeight="false" outlineLevel="0" collapsed="false">
      <c r="A3" s="8" t="s">
        <v>54</v>
      </c>
      <c r="B3" s="8" t="s">
        <v>55</v>
      </c>
      <c r="C3" s="8" t="s">
        <v>365</v>
      </c>
      <c r="D3" s="8" t="s">
        <v>366</v>
      </c>
      <c r="E3" s="8" t="s">
        <v>367</v>
      </c>
    </row>
    <row r="4" customFormat="false" ht="15" hidden="false" customHeight="false" outlineLevel="0" collapsed="false">
      <c r="A4" s="24" t="s">
        <v>66</v>
      </c>
      <c r="B4" s="24" t="s">
        <v>67</v>
      </c>
      <c r="C4" s="25" t="n">
        <f aca="false">'BOM by Location'!J18</f>
        <v>27258.5554564402</v>
      </c>
      <c r="D4" s="24" t="n">
        <f aca="false">COUNTIFS('BOM by Location'!$B$5:$B$170,A4,'BOM by Location'!$I$5:$I$170,"",'BOM by Location'!$E$5:$E$170,"&lt;&gt;")</f>
        <v>8</v>
      </c>
      <c r="E4" s="26" t="n">
        <f aca="false">IF($C$17=0,0,C4/$C$17)</f>
        <v>0.260500452837404</v>
      </c>
    </row>
    <row r="5" customFormat="false" ht="15" hidden="false" customHeight="false" outlineLevel="0" collapsed="false">
      <c r="A5" s="24" t="s">
        <v>117</v>
      </c>
      <c r="B5" s="24" t="s">
        <v>118</v>
      </c>
      <c r="C5" s="25" t="n">
        <f aca="false">'BOM by Location'!J35</f>
        <v>6241.7025</v>
      </c>
      <c r="D5" s="24" t="n">
        <f aca="false">COUNTIFS('BOM by Location'!$B$5:$B$170,A5,'BOM by Location'!$I$5:$I$170,"",'BOM by Location'!$E$5:$E$170,"&lt;&gt;")</f>
        <v>6</v>
      </c>
      <c r="E5" s="26" t="n">
        <f aca="false">IF($C$17=0,0,C5/$C$17)</f>
        <v>0.0596497613501452</v>
      </c>
    </row>
    <row r="6" customFormat="false" ht="15" hidden="false" customHeight="false" outlineLevel="0" collapsed="false">
      <c r="A6" s="24" t="s">
        <v>156</v>
      </c>
      <c r="B6" s="24" t="s">
        <v>157</v>
      </c>
      <c r="C6" s="25" t="n">
        <f aca="false">'BOM by Location'!J53</f>
        <v>3777.48</v>
      </c>
      <c r="D6" s="24" t="n">
        <f aca="false">COUNTIFS('BOM by Location'!$B$5:$B$170,A6,'BOM by Location'!$I$5:$I$170,"",'BOM by Location'!$E$5:$E$170,"&lt;&gt;")</f>
        <v>7</v>
      </c>
      <c r="E6" s="26" t="n">
        <f aca="false">IF($C$17=0,0,C6/$C$17)</f>
        <v>0.0361000513089091</v>
      </c>
    </row>
    <row r="7" customFormat="false" ht="15" hidden="false" customHeight="false" outlineLevel="0" collapsed="false">
      <c r="A7" s="24" t="s">
        <v>178</v>
      </c>
      <c r="B7" s="24" t="s">
        <v>179</v>
      </c>
      <c r="C7" s="25" t="n">
        <f aca="false">'BOM by Location'!J57</f>
        <v>0</v>
      </c>
      <c r="D7" s="24" t="n">
        <f aca="false">COUNTIFS('BOM by Location'!$B$5:$B$170,A7,'BOM by Location'!$I$5:$I$170,"",'BOM by Location'!$E$5:$E$170,"&lt;&gt;")</f>
        <v>1</v>
      </c>
      <c r="E7" s="26" t="n">
        <f aca="false">IF($C$17=0,0,C7/$C$17)</f>
        <v>0</v>
      </c>
    </row>
    <row r="8" customFormat="false" ht="15" hidden="false" customHeight="false" outlineLevel="0" collapsed="false">
      <c r="A8" s="24" t="s">
        <v>186</v>
      </c>
      <c r="B8" s="24" t="s">
        <v>187</v>
      </c>
      <c r="C8" s="25" t="n">
        <f aca="false">'BOM by Location'!J78</f>
        <v>6168.6236</v>
      </c>
      <c r="D8" s="24" t="n">
        <f aca="false">COUNTIFS('BOM by Location'!$B$5:$B$170,A8,'BOM by Location'!$I$5:$I$170,"",'BOM by Location'!$E$5:$E$170,"&lt;&gt;")</f>
        <v>6</v>
      </c>
      <c r="E8" s="26" t="n">
        <f aca="false">IF($C$17=0,0,C8/$C$17)</f>
        <v>0.0589513719372036</v>
      </c>
    </row>
    <row r="9" customFormat="false" ht="15" hidden="false" customHeight="false" outlineLevel="0" collapsed="false">
      <c r="A9" s="24" t="s">
        <v>235</v>
      </c>
      <c r="B9" s="24" t="s">
        <v>236</v>
      </c>
      <c r="C9" s="25" t="n">
        <f aca="false">'BOM by Location'!J99</f>
        <v>3459.6002</v>
      </c>
      <c r="D9" s="24" t="n">
        <f aca="false">COUNTIFS('BOM by Location'!$B$5:$B$170,A9,'BOM by Location'!$I$5:$I$170,"",'BOM by Location'!$E$5:$E$170,"&lt;&gt;")</f>
        <v>6</v>
      </c>
      <c r="E9" s="26" t="n">
        <f aca="false">IF($C$17=0,0,C9/$C$17)</f>
        <v>0.0330621855650625</v>
      </c>
    </row>
    <row r="10" customFormat="false" ht="15" hidden="false" customHeight="false" outlineLevel="0" collapsed="false">
      <c r="A10" s="24" t="s">
        <v>244</v>
      </c>
      <c r="B10" s="24" t="s">
        <v>245</v>
      </c>
      <c r="C10" s="25" t="n">
        <f aca="false">'BOM by Location'!J118</f>
        <v>13838.4008</v>
      </c>
      <c r="D10" s="24" t="n">
        <f aca="false">COUNTIFS('BOM by Location'!$B$5:$B$170,A10,'BOM by Location'!$I$5:$I$170,"",'BOM by Location'!$E$5:$E$170,"&lt;&gt;")</f>
        <v>4</v>
      </c>
      <c r="E10" s="26" t="n">
        <f aca="false">IF($C$17=0,0,C10/$C$17)</f>
        <v>0.13224874226025</v>
      </c>
    </row>
    <row r="11" customFormat="false" ht="15" hidden="false" customHeight="false" outlineLevel="0" collapsed="false">
      <c r="A11" s="24" t="s">
        <v>259</v>
      </c>
      <c r="B11" s="24" t="s">
        <v>260</v>
      </c>
      <c r="C11" s="25" t="n">
        <f aca="false">'BOM by Location'!J123</f>
        <v>0</v>
      </c>
      <c r="D11" s="24" t="n">
        <f aca="false">COUNTIFS('BOM by Location'!$B$5:$B$170,A11,'BOM by Location'!$I$5:$I$170,"",'BOM by Location'!$E$5:$E$170,"&lt;&gt;")</f>
        <v>2</v>
      </c>
      <c r="E11" s="26" t="n">
        <f aca="false">IF($C$17=0,0,C11/$C$17)</f>
        <v>0</v>
      </c>
    </row>
    <row r="12" customFormat="false" ht="15" hidden="false" customHeight="false" outlineLevel="0" collapsed="false">
      <c r="A12" s="24" t="s">
        <v>266</v>
      </c>
      <c r="B12" s="24" t="s">
        <v>267</v>
      </c>
      <c r="C12" s="25" t="n">
        <f aca="false">'BOM by Location'!J128</f>
        <v>0</v>
      </c>
      <c r="D12" s="24" t="n">
        <f aca="false">COUNTIFS('BOM by Location'!$B$5:$B$170,A12,'BOM by Location'!$I$5:$I$170,"",'BOM by Location'!$E$5:$E$170,"&lt;&gt;")</f>
        <v>2</v>
      </c>
      <c r="E12" s="26" t="n">
        <f aca="false">IF($C$17=0,0,C12/$C$17)</f>
        <v>0</v>
      </c>
    </row>
    <row r="13" customFormat="false" ht="15" hidden="false" customHeight="false" outlineLevel="0" collapsed="false">
      <c r="A13" s="24" t="s">
        <v>272</v>
      </c>
      <c r="B13" s="24" t="s">
        <v>273</v>
      </c>
      <c r="C13" s="25" t="n">
        <f aca="false">'BOM by Location'!J138</f>
        <v>0</v>
      </c>
      <c r="D13" s="24" t="n">
        <f aca="false">COUNTIFS('BOM by Location'!$B$5:$B$170,A13,'BOM by Location'!$I$5:$I$170,"",'BOM by Location'!$E$5:$E$170,"&lt;&gt;")</f>
        <v>7</v>
      </c>
      <c r="E13" s="26" t="n">
        <f aca="false">IF($C$17=0,0,C13/$C$17)</f>
        <v>0</v>
      </c>
    </row>
    <row r="14" customFormat="false" ht="15" hidden="false" customHeight="false" outlineLevel="0" collapsed="false">
      <c r="A14" s="24" t="s">
        <v>299</v>
      </c>
      <c r="B14" s="24" t="s">
        <v>300</v>
      </c>
      <c r="C14" s="25" t="n">
        <f aca="false">'BOM by Location'!J147</f>
        <v>0</v>
      </c>
      <c r="D14" s="24" t="n">
        <f aca="false">COUNTIFS('BOM by Location'!$B$5:$B$170,A14,'BOM by Location'!$I$5:$I$170,"",'BOM by Location'!$E$5:$E$170,"&lt;&gt;")</f>
        <v>1</v>
      </c>
      <c r="E14" s="26" t="n">
        <f aca="false">IF($C$17=0,0,C14/$C$17)</f>
        <v>0</v>
      </c>
    </row>
    <row r="15" customFormat="false" ht="15" hidden="false" customHeight="false" outlineLevel="0" collapsed="false">
      <c r="A15" s="24" t="s">
        <v>328</v>
      </c>
      <c r="B15" s="24" t="s">
        <v>329</v>
      </c>
      <c r="C15" s="25" t="n">
        <f aca="false">'BOM by Location'!J152</f>
        <v>37567</v>
      </c>
      <c r="D15" s="24" t="n">
        <f aca="false">COUNTIFS('BOM by Location'!$B$5:$B$170,A15,'BOM by Location'!$I$5:$I$170,"",'BOM by Location'!$E$5:$E$170,"&lt;&gt;")</f>
        <v>1</v>
      </c>
      <c r="E15" s="26" t="n">
        <f aca="false">IF($C$17=0,0,C15/$C$17)</f>
        <v>0.359014641380441</v>
      </c>
    </row>
    <row r="16" customFormat="false" ht="15" hidden="false" customHeight="false" outlineLevel="0" collapsed="false">
      <c r="A16" s="24" t="s">
        <v>337</v>
      </c>
      <c r="B16" s="24" t="s">
        <v>338</v>
      </c>
      <c r="C16" s="25" t="n">
        <f aca="false">'BOM by Location'!J170</f>
        <v>6327.8239</v>
      </c>
      <c r="D16" s="24" t="n">
        <f aca="false">COUNTIFS('BOM by Location'!$B$5:$B$170,A16,'BOM by Location'!$I$5:$I$170,"",'BOM by Location'!$E$5:$E$170,"&lt;&gt;")</f>
        <v>2</v>
      </c>
      <c r="E16" s="26" t="n">
        <f aca="false">IF($C$17=0,0,C16/$C$17)</f>
        <v>0.0604727933605847</v>
      </c>
    </row>
    <row r="17" customFormat="false" ht="15" hidden="false" customHeight="false" outlineLevel="0" collapsed="false">
      <c r="B17" s="2" t="s">
        <v>368</v>
      </c>
      <c r="C17" s="20" t="n">
        <f aca="false">SUM(C4:C16)</f>
        <v>104639.18645644</v>
      </c>
      <c r="D17" s="2" t="n">
        <f aca="false">SUM(D4:D16)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78"/>
  </cols>
  <sheetData>
    <row r="1" customFormat="false" ht="17.35" hidden="false" customHeight="false" outlineLevel="0" collapsed="false">
      <c r="A1" s="1" t="s">
        <v>369</v>
      </c>
    </row>
    <row r="3" customFormat="false" ht="15" hidden="false" customHeight="false" outlineLevel="0" collapsed="false">
      <c r="A3" s="8" t="s">
        <v>57</v>
      </c>
      <c r="B3" s="8" t="s">
        <v>58</v>
      </c>
      <c r="C3" s="8" t="s">
        <v>360</v>
      </c>
      <c r="D3" s="8" t="s">
        <v>370</v>
      </c>
      <c r="E3" s="8" t="s">
        <v>371</v>
      </c>
      <c r="F3" s="8" t="s">
        <v>361</v>
      </c>
      <c r="G3" s="8" t="s">
        <v>372</v>
      </c>
    </row>
    <row r="4" customFormat="false" ht="23.85" hidden="false" customHeight="false" outlineLevel="0" collapsed="false">
      <c r="A4" s="11" t="s">
        <v>127</v>
      </c>
      <c r="B4" s="11" t="s">
        <v>128</v>
      </c>
      <c r="C4" s="12" t="n">
        <v>2</v>
      </c>
      <c r="D4" s="11" t="n">
        <f aca="false">SUMIF('BOM by Location'!$E$5:$E$170,A4,'BOM by Location'!$G$5:$G$170)</f>
        <v>3</v>
      </c>
      <c r="E4" s="23" t="n">
        <f aca="false">D4-C4</f>
        <v>1</v>
      </c>
      <c r="F4" s="11" t="s">
        <v>373</v>
      </c>
      <c r="G4" s="11" t="s">
        <v>374</v>
      </c>
    </row>
    <row r="5" customFormat="false" ht="15" hidden="false" customHeight="false" outlineLevel="0" collapsed="false">
      <c r="A5" s="11" t="s">
        <v>132</v>
      </c>
      <c r="B5" s="11" t="s">
        <v>133</v>
      </c>
      <c r="C5" s="12" t="n">
        <v>5</v>
      </c>
      <c r="D5" s="11" t="n">
        <f aca="false">SUMIF('BOM by Location'!$E$5:$E$170,A5,'BOM by Location'!$G$5:$G$170)</f>
        <v>7</v>
      </c>
      <c r="E5" s="23" t="n">
        <f aca="false">D5-C5</f>
        <v>2</v>
      </c>
      <c r="F5" s="11" t="s">
        <v>373</v>
      </c>
      <c r="G5" s="11" t="s">
        <v>375</v>
      </c>
    </row>
    <row r="6" customFormat="false" ht="23.85" hidden="false" customHeight="false" outlineLevel="0" collapsed="false">
      <c r="A6" s="11" t="s">
        <v>136</v>
      </c>
      <c r="B6" s="11" t="s">
        <v>137</v>
      </c>
      <c r="C6" s="12" t="n">
        <v>7</v>
      </c>
      <c r="D6" s="11" t="n">
        <f aca="false">SUMIF('BOM by Location'!$E$5:$E$170,A6,'BOM by Location'!$G$5:$G$170)</f>
        <v>9</v>
      </c>
      <c r="E6" s="23" t="n">
        <f aca="false">D6-C6</f>
        <v>2</v>
      </c>
      <c r="F6" s="11" t="s">
        <v>373</v>
      </c>
      <c r="G6" s="11" t="s">
        <v>376</v>
      </c>
    </row>
    <row r="7" customFormat="false" ht="15" hidden="false" customHeight="false" outlineLevel="0" collapsed="false">
      <c r="A7" s="11" t="s">
        <v>97</v>
      </c>
      <c r="B7" s="11" t="s">
        <v>98</v>
      </c>
      <c r="C7" s="12" t="n">
        <v>2</v>
      </c>
      <c r="D7" s="11" t="n">
        <f aca="false">SUMIF('BOM by Location'!$E$5:$E$170,A7,'BOM by Location'!$G$5:$G$170)</f>
        <v>1</v>
      </c>
      <c r="E7" s="23" t="n">
        <f aca="false">D7-C7</f>
        <v>-1</v>
      </c>
      <c r="F7" s="11" t="s">
        <v>377</v>
      </c>
      <c r="G7" s="11" t="s">
        <v>378</v>
      </c>
    </row>
    <row r="8" customFormat="false" ht="23.85" hidden="false" customHeight="false" outlineLevel="0" collapsed="false">
      <c r="A8" s="11" t="s">
        <v>189</v>
      </c>
      <c r="B8" s="11" t="s">
        <v>190</v>
      </c>
      <c r="C8" s="12" t="n">
        <v>7</v>
      </c>
      <c r="D8" s="11" t="n">
        <f aca="false">SUMIF('BOM by Location'!$E$5:$E$170,A8,'BOM by Location'!$G$5:$G$170)</f>
        <v>8</v>
      </c>
      <c r="E8" s="23" t="n">
        <f aca="false">D8-C8</f>
        <v>1</v>
      </c>
      <c r="F8" s="11" t="s">
        <v>373</v>
      </c>
      <c r="G8" s="11" t="s">
        <v>379</v>
      </c>
    </row>
    <row r="9" customFormat="false" ht="23.85" hidden="false" customHeight="false" outlineLevel="0" collapsed="false">
      <c r="A9" s="11" t="s">
        <v>191</v>
      </c>
      <c r="B9" s="11" t="s">
        <v>192</v>
      </c>
      <c r="C9" s="12" t="n">
        <v>7</v>
      </c>
      <c r="D9" s="11" t="n">
        <f aca="false">SUMIF('BOM by Location'!$E$5:$E$170,A9,'BOM by Location'!$G$5:$G$170)</f>
        <v>8</v>
      </c>
      <c r="E9" s="23" t="n">
        <f aca="false">D9-C9</f>
        <v>1</v>
      </c>
      <c r="F9" s="11" t="s">
        <v>373</v>
      </c>
      <c r="G9" s="11" t="s">
        <v>380</v>
      </c>
    </row>
    <row r="10" customFormat="false" ht="15" hidden="false" customHeight="false" outlineLevel="0" collapsed="false">
      <c r="A10" s="11" t="s">
        <v>193</v>
      </c>
      <c r="B10" s="11" t="s">
        <v>194</v>
      </c>
      <c r="C10" s="12" t="n">
        <v>12</v>
      </c>
      <c r="D10" s="11" t="n">
        <f aca="false">SUMIF('BOM by Location'!$E$5:$E$170,A10,'BOM by Location'!$G$5:$G$170)</f>
        <v>14</v>
      </c>
      <c r="E10" s="23" t="n">
        <f aca="false">D10-C10</f>
        <v>2</v>
      </c>
      <c r="F10" s="11" t="s">
        <v>373</v>
      </c>
      <c r="G10" s="11" t="s">
        <v>381</v>
      </c>
    </row>
    <row r="11" customFormat="false" ht="15" hidden="false" customHeight="false" outlineLevel="0" collapsed="false">
      <c r="A11" s="11" t="s">
        <v>196</v>
      </c>
      <c r="B11" s="11" t="s">
        <v>197</v>
      </c>
      <c r="C11" s="12" t="n">
        <v>19</v>
      </c>
      <c r="D11" s="11" t="n">
        <f aca="false">SUMIF('BOM by Location'!$E$5:$E$170,A11,'BOM by Location'!$G$5:$G$170)</f>
        <v>20</v>
      </c>
      <c r="E11" s="23" t="n">
        <f aca="false">D11-C11</f>
        <v>1</v>
      </c>
      <c r="F11" s="11" t="s">
        <v>373</v>
      </c>
      <c r="G11" s="11" t="s">
        <v>382</v>
      </c>
    </row>
    <row r="12" customFormat="false" ht="15" hidden="false" customHeight="false" outlineLevel="0" collapsed="false">
      <c r="A12" s="11" t="s">
        <v>199</v>
      </c>
      <c r="B12" s="11" t="s">
        <v>200</v>
      </c>
      <c r="C12" s="12" t="n">
        <v>18</v>
      </c>
      <c r="D12" s="11" t="n">
        <f aca="false">SUMIF('BOM by Location'!$E$5:$E$170,A12,'BOM by Location'!$G$5:$G$170)</f>
        <v>19</v>
      </c>
      <c r="E12" s="23" t="n">
        <f aca="false">D12-C12</f>
        <v>1</v>
      </c>
      <c r="F12" s="11" t="s">
        <v>373</v>
      </c>
      <c r="G12" s="11" t="s">
        <v>383</v>
      </c>
    </row>
    <row r="13" customFormat="false" ht="15" hidden="false" customHeight="false" outlineLevel="0" collapsed="false">
      <c r="A13" s="11" t="s">
        <v>202</v>
      </c>
      <c r="B13" s="11" t="s">
        <v>203</v>
      </c>
      <c r="C13" s="12" t="n">
        <v>7</v>
      </c>
      <c r="D13" s="11" t="n">
        <f aca="false">SUMIF('BOM by Location'!$E$5:$E$170,A13,'BOM by Location'!$G$5:$G$170)</f>
        <v>8</v>
      </c>
      <c r="E13" s="23" t="n">
        <f aca="false">D13-C13</f>
        <v>1</v>
      </c>
      <c r="F13" s="11" t="s">
        <v>373</v>
      </c>
      <c r="G13" s="11" t="s">
        <v>384</v>
      </c>
    </row>
    <row r="14" customFormat="false" ht="15" hidden="false" customHeight="false" outlineLevel="0" collapsed="false">
      <c r="A14" s="11" t="s">
        <v>205</v>
      </c>
      <c r="B14" s="11" t="s">
        <v>206</v>
      </c>
      <c r="C14" s="12" t="n">
        <v>6</v>
      </c>
      <c r="D14" s="11" t="n">
        <f aca="false">SUMIF('BOM by Location'!$E$5:$E$170,A14,'BOM by Location'!$G$5:$G$170)</f>
        <v>7</v>
      </c>
      <c r="E14" s="23" t="n">
        <f aca="false">D14-C14</f>
        <v>1</v>
      </c>
      <c r="F14" s="11" t="s">
        <v>373</v>
      </c>
      <c r="G14" s="11" t="s">
        <v>385</v>
      </c>
    </row>
    <row r="15" customFormat="false" ht="15" hidden="false" customHeight="false" outlineLevel="0" collapsed="false">
      <c r="A15" s="11" t="s">
        <v>215</v>
      </c>
      <c r="B15" s="11" t="s">
        <v>216</v>
      </c>
      <c r="C15" s="12" t="n">
        <v>7</v>
      </c>
      <c r="D15" s="11" t="n">
        <f aca="false">SUMIF('BOM by Location'!$E$5:$E$170,A15,'BOM by Location'!$G$5:$G$170)</f>
        <v>8</v>
      </c>
      <c r="E15" s="23" t="n">
        <f aca="false">D15-C15</f>
        <v>1</v>
      </c>
      <c r="F15" s="11" t="s">
        <v>373</v>
      </c>
      <c r="G15" s="11" t="s">
        <v>386</v>
      </c>
    </row>
    <row r="16" customFormat="false" ht="15" hidden="false" customHeight="false" outlineLevel="0" collapsed="false">
      <c r="A16" s="11" t="s">
        <v>217</v>
      </c>
      <c r="B16" s="11" t="s">
        <v>218</v>
      </c>
      <c r="C16" s="12" t="n">
        <v>7</v>
      </c>
      <c r="D16" s="11" t="n">
        <f aca="false">SUMIF('BOM by Location'!$E$5:$E$170,A16,'BOM by Location'!$G$5:$G$170)</f>
        <v>8</v>
      </c>
      <c r="E16" s="23" t="n">
        <f aca="false">D16-C16</f>
        <v>1</v>
      </c>
      <c r="F16" s="11" t="s">
        <v>373</v>
      </c>
      <c r="G16" s="11" t="s">
        <v>384</v>
      </c>
    </row>
    <row r="17" customFormat="false" ht="15" hidden="false" customHeight="false" outlineLevel="0" collapsed="false">
      <c r="A17" s="11" t="s">
        <v>219</v>
      </c>
      <c r="B17" s="11" t="s">
        <v>220</v>
      </c>
      <c r="C17" s="12" t="n">
        <v>9</v>
      </c>
      <c r="D17" s="11" t="n">
        <f aca="false">SUMIF('BOM by Location'!$E$5:$E$170,A17,'BOM by Location'!$G$5:$G$170)</f>
        <v>10</v>
      </c>
      <c r="E17" s="23" t="n">
        <f aca="false">D17-C17</f>
        <v>1</v>
      </c>
      <c r="F17" s="11" t="s">
        <v>373</v>
      </c>
      <c r="G17" s="11" t="s">
        <v>387</v>
      </c>
    </row>
    <row r="18" customFormat="false" ht="23.85" hidden="false" customHeight="false" outlineLevel="0" collapsed="false">
      <c r="A18" s="11" t="s">
        <v>47</v>
      </c>
      <c r="B18" s="11" t="s">
        <v>388</v>
      </c>
      <c r="C18" s="12" t="n">
        <v>4</v>
      </c>
      <c r="D18" s="11" t="n">
        <f aca="false">SUMIF('BOM by Location'!$E$5:$E$170,A18,'BOM by Location'!$G$5:$G$170)</f>
        <v>0</v>
      </c>
      <c r="E18" s="23" t="n">
        <f aca="false">D18-C18</f>
        <v>-4</v>
      </c>
      <c r="F18" s="11" t="s">
        <v>389</v>
      </c>
      <c r="G18" s="11" t="s">
        <v>390</v>
      </c>
    </row>
    <row r="19" customFormat="false" ht="23.85" hidden="false" customHeight="false" outlineLevel="0" collapsed="false">
      <c r="A19" s="11" t="s">
        <v>81</v>
      </c>
      <c r="B19" s="11" t="s">
        <v>82</v>
      </c>
      <c r="C19" s="12" t="n">
        <v>0</v>
      </c>
      <c r="D19" s="11" t="n">
        <f aca="false">SUMIF('BOM by Location'!$E$5:$E$170,A19,'BOM by Location'!$G$5:$G$170)</f>
        <v>1</v>
      </c>
      <c r="E19" s="23" t="n">
        <f aca="false">D19-C19</f>
        <v>1</v>
      </c>
      <c r="F19" s="11" t="s">
        <v>34</v>
      </c>
      <c r="G19" s="11" t="s">
        <v>391</v>
      </c>
    </row>
    <row r="20" customFormat="false" ht="23.85" hidden="false" customHeight="false" outlineLevel="0" collapsed="false">
      <c r="A20" s="11" t="s">
        <v>85</v>
      </c>
      <c r="B20" s="11" t="s">
        <v>86</v>
      </c>
      <c r="C20" s="12" t="n">
        <v>0</v>
      </c>
      <c r="D20" s="11" t="n">
        <f aca="false">SUMIF('BOM by Location'!$E$5:$E$170,A20,'BOM by Location'!$G$5:$G$170)</f>
        <v>1</v>
      </c>
      <c r="E20" s="23" t="n">
        <f aca="false">D20-C20</f>
        <v>1</v>
      </c>
      <c r="F20" s="11" t="s">
        <v>34</v>
      </c>
      <c r="G20" s="11" t="s">
        <v>391</v>
      </c>
    </row>
    <row r="21" customFormat="false" ht="15" hidden="false" customHeight="false" outlineLevel="0" collapsed="false">
      <c r="A21" s="11" t="s">
        <v>89</v>
      </c>
      <c r="B21" s="11" t="s">
        <v>90</v>
      </c>
      <c r="C21" s="12" t="n">
        <v>0</v>
      </c>
      <c r="D21" s="11" t="n">
        <f aca="false">SUMIF('BOM by Location'!$E$5:$E$170,A21,'BOM by Location'!$G$5:$G$170)</f>
        <v>1</v>
      </c>
      <c r="E21" s="23" t="n">
        <f aca="false">D21-C21</f>
        <v>1</v>
      </c>
      <c r="F21" s="11" t="s">
        <v>34</v>
      </c>
      <c r="G21" s="11" t="s">
        <v>391</v>
      </c>
    </row>
    <row r="22" customFormat="false" ht="15" hidden="false" customHeight="false" outlineLevel="0" collapsed="false">
      <c r="A22" s="11" t="s">
        <v>93</v>
      </c>
      <c r="B22" s="11" t="s">
        <v>94</v>
      </c>
      <c r="C22" s="12" t="n">
        <v>0</v>
      </c>
      <c r="D22" s="11" t="n">
        <f aca="false">SUMIF('BOM by Location'!$E$5:$E$170,A22,'BOM by Location'!$G$5:$G$170)</f>
        <v>1</v>
      </c>
      <c r="E22" s="23" t="n">
        <f aca="false">D22-C22</f>
        <v>1</v>
      </c>
      <c r="F22" s="11" t="s">
        <v>34</v>
      </c>
      <c r="G22" s="11" t="s">
        <v>391</v>
      </c>
    </row>
    <row r="23" customFormat="false" ht="23.85" hidden="false" customHeight="false" outlineLevel="0" collapsed="false">
      <c r="A23" s="11" t="s">
        <v>101</v>
      </c>
      <c r="B23" s="11" t="s">
        <v>102</v>
      </c>
      <c r="C23" s="12" t="n">
        <v>0</v>
      </c>
      <c r="D23" s="11" t="n">
        <f aca="false">SUMIF('BOM by Location'!$E$5:$E$170,A23,'BOM by Location'!$G$5:$G$170)</f>
        <v>1</v>
      </c>
      <c r="E23" s="23" t="n">
        <f aca="false">D23-C23</f>
        <v>1</v>
      </c>
      <c r="F23" s="11" t="s">
        <v>34</v>
      </c>
      <c r="G23" s="11" t="s">
        <v>391</v>
      </c>
    </row>
    <row r="24" customFormat="false" ht="15" hidden="false" customHeight="false" outlineLevel="0" collapsed="false">
      <c r="A24" s="11" t="s">
        <v>104</v>
      </c>
      <c r="B24" s="11" t="s">
        <v>105</v>
      </c>
      <c r="C24" s="12" t="n">
        <v>0</v>
      </c>
      <c r="D24" s="11" t="n">
        <f aca="false">SUMIF('BOM by Location'!$E$5:$E$170,A24,'BOM by Location'!$G$5:$G$170)</f>
        <v>1</v>
      </c>
      <c r="E24" s="23" t="n">
        <f aca="false">D24-C24</f>
        <v>1</v>
      </c>
      <c r="F24" s="11" t="s">
        <v>34</v>
      </c>
      <c r="G24" s="11" t="s">
        <v>391</v>
      </c>
    </row>
    <row r="25" customFormat="false" ht="23.85" hidden="false" customHeight="false" outlineLevel="0" collapsed="false">
      <c r="A25" s="11" t="s">
        <v>109</v>
      </c>
      <c r="B25" s="11" t="s">
        <v>110</v>
      </c>
      <c r="C25" s="12" t="n">
        <v>0</v>
      </c>
      <c r="D25" s="11" t="n">
        <f aca="false">SUMIF('BOM by Location'!$E$5:$E$170,A25,'BOM by Location'!$G$5:$G$170)</f>
        <v>1</v>
      </c>
      <c r="E25" s="23" t="n">
        <f aca="false">D25-C25</f>
        <v>1</v>
      </c>
      <c r="F25" s="11" t="s">
        <v>34</v>
      </c>
      <c r="G25" s="11" t="s">
        <v>391</v>
      </c>
    </row>
    <row r="26" customFormat="false" ht="23.85" hidden="false" customHeight="false" outlineLevel="0" collapsed="false">
      <c r="A26" s="11" t="s">
        <v>112</v>
      </c>
      <c r="B26" s="11" t="s">
        <v>113</v>
      </c>
      <c r="C26" s="12" t="n">
        <v>0</v>
      </c>
      <c r="D26" s="11" t="n">
        <f aca="false">SUMIF('BOM by Location'!$E$5:$E$170,A26,'BOM by Location'!$G$5:$G$170)</f>
        <v>1</v>
      </c>
      <c r="E26" s="23" t="n">
        <f aca="false">D26-C26</f>
        <v>1</v>
      </c>
      <c r="F26" s="11" t="s">
        <v>34</v>
      </c>
      <c r="G26" s="11" t="s">
        <v>391</v>
      </c>
    </row>
    <row r="27" customFormat="false" ht="15" hidden="false" customHeight="false" outlineLevel="0" collapsed="false">
      <c r="A27" s="11" t="s">
        <v>138</v>
      </c>
      <c r="B27" s="11" t="s">
        <v>139</v>
      </c>
      <c r="C27" s="12" t="n">
        <v>0</v>
      </c>
      <c r="D27" s="11" t="n">
        <f aca="false">SUMIF('BOM by Location'!$E$5:$E$170,A27,'BOM by Location'!$G$5:$G$170)</f>
        <v>4</v>
      </c>
      <c r="E27" s="23" t="n">
        <f aca="false">D27-C27</f>
        <v>4</v>
      </c>
      <c r="F27" s="11" t="s">
        <v>34</v>
      </c>
      <c r="G27" s="11" t="s">
        <v>391</v>
      </c>
    </row>
    <row r="28" customFormat="false" ht="15" hidden="false" customHeight="false" outlineLevel="0" collapsed="false">
      <c r="A28" s="11" t="s">
        <v>142</v>
      </c>
      <c r="B28" s="11" t="s">
        <v>143</v>
      </c>
      <c r="C28" s="12" t="n">
        <v>0</v>
      </c>
      <c r="D28" s="11" t="n">
        <f aca="false">SUMIF('BOM by Location'!$E$5:$E$170,A28,'BOM by Location'!$G$5:$G$170)</f>
        <v>2</v>
      </c>
      <c r="E28" s="23" t="n">
        <f aca="false">D28-C28</f>
        <v>2</v>
      </c>
      <c r="F28" s="11" t="s">
        <v>34</v>
      </c>
      <c r="G28" s="11" t="s">
        <v>391</v>
      </c>
    </row>
    <row r="29" customFormat="false" ht="15" hidden="false" customHeight="false" outlineLevel="0" collapsed="false">
      <c r="A29" s="11" t="s">
        <v>144</v>
      </c>
      <c r="B29" s="11" t="s">
        <v>145</v>
      </c>
      <c r="C29" s="12" t="n">
        <v>0</v>
      </c>
      <c r="D29" s="11" t="n">
        <f aca="false">SUMIF('BOM by Location'!$E$5:$E$170,A29,'BOM by Location'!$G$5:$G$170)</f>
        <v>69</v>
      </c>
      <c r="E29" s="23" t="n">
        <f aca="false">D29-C29</f>
        <v>69</v>
      </c>
      <c r="F29" s="11" t="s">
        <v>34</v>
      </c>
      <c r="G29" s="11" t="s">
        <v>391</v>
      </c>
    </row>
    <row r="30" customFormat="false" ht="15" hidden="false" customHeight="false" outlineLevel="0" collapsed="false">
      <c r="A30" s="11" t="s">
        <v>147</v>
      </c>
      <c r="B30" s="11" t="s">
        <v>148</v>
      </c>
      <c r="C30" s="12" t="n">
        <v>0</v>
      </c>
      <c r="D30" s="11" t="n">
        <f aca="false">SUMIF('BOM by Location'!$E$5:$E$170,A30,'BOM by Location'!$G$5:$G$170)</f>
        <v>64</v>
      </c>
      <c r="E30" s="23" t="n">
        <f aca="false">D30-C30</f>
        <v>64</v>
      </c>
      <c r="F30" s="11" t="s">
        <v>34</v>
      </c>
      <c r="G30" s="11" t="s">
        <v>391</v>
      </c>
    </row>
    <row r="31" customFormat="false" ht="15" hidden="false" customHeight="false" outlineLevel="0" collapsed="false">
      <c r="A31" s="11" t="s">
        <v>149</v>
      </c>
      <c r="B31" s="11" t="s">
        <v>150</v>
      </c>
      <c r="C31" s="12" t="n">
        <v>0</v>
      </c>
      <c r="D31" s="11" t="n">
        <f aca="false">SUMIF('BOM by Location'!$E$5:$E$170,A31,'BOM by Location'!$G$5:$G$170)</f>
        <v>550</v>
      </c>
      <c r="E31" s="23" t="n">
        <f aca="false">D31-C31</f>
        <v>550</v>
      </c>
      <c r="F31" s="11" t="s">
        <v>34</v>
      </c>
      <c r="G31" s="11" t="s">
        <v>391</v>
      </c>
    </row>
    <row r="32" customFormat="false" ht="23.85" hidden="false" customHeight="false" outlineLevel="0" collapsed="false">
      <c r="A32" s="11" t="s">
        <v>152</v>
      </c>
      <c r="B32" s="11" t="s">
        <v>153</v>
      </c>
      <c r="C32" s="12" t="n">
        <v>0</v>
      </c>
      <c r="D32" s="11" t="n">
        <f aca="false">SUMIF('BOM by Location'!$E$5:$E$170,A32,'BOM by Location'!$G$5:$G$170)</f>
        <v>2</v>
      </c>
      <c r="E32" s="23" t="n">
        <f aca="false">D32-C32</f>
        <v>2</v>
      </c>
      <c r="F32" s="11" t="s">
        <v>34</v>
      </c>
      <c r="G32" s="11" t="s">
        <v>391</v>
      </c>
    </row>
    <row r="33" customFormat="false" ht="23.85" hidden="false" customHeight="false" outlineLevel="0" collapsed="false">
      <c r="A33" s="11" t="s">
        <v>171</v>
      </c>
      <c r="B33" s="11" t="s">
        <v>172</v>
      </c>
      <c r="C33" s="12" t="n">
        <v>0</v>
      </c>
      <c r="D33" s="11" t="n">
        <f aca="false">SUMIF('BOM by Location'!$E$5:$E$170,A33,'BOM by Location'!$G$5:$G$170)</f>
        <v>7</v>
      </c>
      <c r="E33" s="23" t="n">
        <f aca="false">D33-C33</f>
        <v>7</v>
      </c>
      <c r="F33" s="11" t="s">
        <v>34</v>
      </c>
      <c r="G33" s="11" t="s">
        <v>391</v>
      </c>
    </row>
    <row r="34" customFormat="false" ht="23.85" hidden="false" customHeight="false" outlineLevel="0" collapsed="false">
      <c r="A34" s="11" t="s">
        <v>228</v>
      </c>
      <c r="B34" s="11" t="s">
        <v>229</v>
      </c>
      <c r="C34" s="12" t="n">
        <v>0</v>
      </c>
      <c r="D34" s="11" t="n">
        <f aca="false">SUMIF('BOM by Location'!$E$5:$E$170,A34,'BOM by Location'!$G$5:$G$170)</f>
        <v>4</v>
      </c>
      <c r="E34" s="23" t="n">
        <f aca="false">D34-C34</f>
        <v>4</v>
      </c>
      <c r="F34" s="11" t="s">
        <v>34</v>
      </c>
      <c r="G34" s="11" t="s">
        <v>391</v>
      </c>
    </row>
    <row r="35" customFormat="false" ht="15" hidden="false" customHeight="false" outlineLevel="0" collapsed="false">
      <c r="A35" s="11" t="s">
        <v>230</v>
      </c>
      <c r="B35" s="11" t="s">
        <v>231</v>
      </c>
      <c r="C35" s="12" t="n">
        <v>0</v>
      </c>
      <c r="D35" s="11" t="n">
        <f aca="false">SUMIF('BOM by Location'!$E$5:$E$170,A35,'BOM by Location'!$G$5:$G$170)</f>
        <v>4</v>
      </c>
      <c r="E35" s="23" t="n">
        <f aca="false">D35-C35</f>
        <v>4</v>
      </c>
      <c r="F35" s="11" t="s">
        <v>34</v>
      </c>
      <c r="G35" s="11" t="s">
        <v>391</v>
      </c>
    </row>
    <row r="36" customFormat="false" ht="15" hidden="false" customHeight="false" outlineLevel="0" collapsed="false">
      <c r="A36" s="11" t="s">
        <v>275</v>
      </c>
      <c r="B36" s="11" t="s">
        <v>276</v>
      </c>
      <c r="C36" s="12" t="n">
        <v>0</v>
      </c>
      <c r="D36" s="11" t="n">
        <f aca="false">SUMIF('BOM by Location'!$E$5:$E$170,A36,'BOM by Location'!$G$5:$G$170)</f>
        <v>1500</v>
      </c>
      <c r="E36" s="23" t="n">
        <f aca="false">D36-C36</f>
        <v>1500</v>
      </c>
      <c r="F36" s="11" t="s">
        <v>34</v>
      </c>
      <c r="G36" s="11" t="s">
        <v>391</v>
      </c>
    </row>
    <row r="37" customFormat="false" ht="15" hidden="false" customHeight="false" outlineLevel="0" collapsed="false">
      <c r="A37" s="11" t="s">
        <v>279</v>
      </c>
      <c r="B37" s="11" t="s">
        <v>280</v>
      </c>
      <c r="C37" s="12" t="n">
        <v>0</v>
      </c>
      <c r="D37" s="11" t="n">
        <f aca="false">SUMIF('BOM by Location'!$E$5:$E$170,A37,'BOM by Location'!$G$5:$G$170)</f>
        <v>6</v>
      </c>
      <c r="E37" s="23" t="n">
        <f aca="false">D37-C37</f>
        <v>6</v>
      </c>
      <c r="F37" s="11" t="s">
        <v>34</v>
      </c>
      <c r="G37" s="11" t="s">
        <v>391</v>
      </c>
    </row>
    <row r="38" customFormat="false" ht="15" hidden="false" customHeight="false" outlineLevel="0" collapsed="false">
      <c r="A38" s="11" t="s">
        <v>282</v>
      </c>
      <c r="B38" s="11" t="s">
        <v>283</v>
      </c>
      <c r="C38" s="12" t="n">
        <v>0</v>
      </c>
      <c r="D38" s="11" t="n">
        <f aca="false">SUMIF('BOM by Location'!$E$5:$E$170,A38,'BOM by Location'!$G$5:$G$170)</f>
        <v>12</v>
      </c>
      <c r="E38" s="23" t="n">
        <f aca="false">D38-C38</f>
        <v>12</v>
      </c>
      <c r="F38" s="11" t="s">
        <v>34</v>
      </c>
      <c r="G38" s="11" t="s">
        <v>391</v>
      </c>
    </row>
    <row r="39" customFormat="false" ht="15" hidden="false" customHeight="false" outlineLevel="0" collapsed="false">
      <c r="A39" s="11" t="s">
        <v>285</v>
      </c>
      <c r="B39" s="11" t="s">
        <v>286</v>
      </c>
      <c r="C39" s="12" t="n">
        <v>0</v>
      </c>
      <c r="D39" s="11" t="n">
        <f aca="false">SUMIF('BOM by Location'!$E$5:$E$170,A39,'BOM by Location'!$G$5:$G$170)</f>
        <v>500</v>
      </c>
      <c r="E39" s="23" t="n">
        <f aca="false">D39-C39</f>
        <v>500</v>
      </c>
      <c r="F39" s="11" t="s">
        <v>34</v>
      </c>
      <c r="G39" s="11" t="s">
        <v>391</v>
      </c>
    </row>
    <row r="40" customFormat="false" ht="15" hidden="false" customHeight="false" outlineLevel="0" collapsed="false">
      <c r="A40" s="11" t="s">
        <v>288</v>
      </c>
      <c r="B40" s="11" t="s">
        <v>289</v>
      </c>
      <c r="C40" s="12" t="n">
        <v>0</v>
      </c>
      <c r="D40" s="11" t="n">
        <f aca="false">SUMIF('BOM by Location'!$E$5:$E$170,A40,'BOM by Location'!$G$5:$G$170)</f>
        <v>100</v>
      </c>
      <c r="E40" s="23" t="n">
        <f aca="false">D40-C40</f>
        <v>100</v>
      </c>
      <c r="F40" s="11" t="s">
        <v>34</v>
      </c>
      <c r="G40" s="11" t="s">
        <v>391</v>
      </c>
    </row>
    <row r="41" customFormat="false" ht="23.85" hidden="false" customHeight="false" outlineLevel="0" collapsed="false">
      <c r="A41" s="11" t="s">
        <v>291</v>
      </c>
      <c r="B41" s="11" t="s">
        <v>292</v>
      </c>
      <c r="C41" s="12" t="n">
        <v>0</v>
      </c>
      <c r="D41" s="11" t="n">
        <f aca="false">SUMIF('BOM by Location'!$E$5:$E$170,A41,'BOM by Location'!$G$5:$G$170)</f>
        <v>600</v>
      </c>
      <c r="E41" s="23" t="n">
        <f aca="false">D41-C41</f>
        <v>600</v>
      </c>
      <c r="F41" s="11" t="s">
        <v>34</v>
      </c>
      <c r="G41" s="11" t="s">
        <v>391</v>
      </c>
    </row>
    <row r="42" customFormat="false" ht="15" hidden="false" customHeight="false" outlineLevel="0" collapsed="false">
      <c r="A42" s="11" t="s">
        <v>295</v>
      </c>
      <c r="B42" s="11" t="s">
        <v>296</v>
      </c>
      <c r="C42" s="12" t="n">
        <v>0</v>
      </c>
      <c r="D42" s="11" t="n">
        <f aca="false">SUMIF('BOM by Location'!$E$5:$E$170,A42,'BOM by Location'!$G$5:$G$170)</f>
        <v>1</v>
      </c>
      <c r="E42" s="23" t="n">
        <f aca="false">D42-C42</f>
        <v>1</v>
      </c>
      <c r="F42" s="11" t="s">
        <v>34</v>
      </c>
      <c r="G42" s="11" t="s">
        <v>391</v>
      </c>
    </row>
    <row r="43" customFormat="false" ht="15" hidden="false" customHeight="false" outlineLevel="0" collapsed="false">
      <c r="A43" s="11" t="s">
        <v>302</v>
      </c>
      <c r="B43" s="11" t="s">
        <v>303</v>
      </c>
      <c r="C43" s="12" t="n">
        <v>0</v>
      </c>
      <c r="D43" s="11" t="n">
        <f aca="false">SUMIF('BOM by Location'!$E$5:$E$170,A43,'BOM by Location'!$G$5:$G$170)</f>
        <v>4</v>
      </c>
      <c r="E43" s="23" t="n">
        <f aca="false">D43-C43</f>
        <v>4</v>
      </c>
      <c r="F43" s="11" t="s">
        <v>34</v>
      </c>
      <c r="G43" s="11" t="s">
        <v>391</v>
      </c>
    </row>
    <row r="44" customFormat="false" ht="15" hidden="false" customHeight="false" outlineLevel="0" collapsed="false">
      <c r="A44" s="11" t="s">
        <v>307</v>
      </c>
      <c r="B44" s="11" t="s">
        <v>308</v>
      </c>
      <c r="C44" s="12" t="n">
        <v>0</v>
      </c>
      <c r="D44" s="11" t="n">
        <f aca="false">SUMIF('BOM by Location'!$E$5:$E$170,A44,'BOM by Location'!$G$5:$G$170)</f>
        <v>1</v>
      </c>
      <c r="E44" s="23" t="n">
        <f aca="false">D44-C44</f>
        <v>1</v>
      </c>
      <c r="F44" s="11" t="s">
        <v>34</v>
      </c>
      <c r="G44" s="11" t="s">
        <v>391</v>
      </c>
    </row>
    <row r="45" customFormat="false" ht="15" hidden="false" customHeight="false" outlineLevel="0" collapsed="false">
      <c r="A45" s="11" t="s">
        <v>312</v>
      </c>
      <c r="B45" s="11" t="s">
        <v>313</v>
      </c>
      <c r="C45" s="12" t="n">
        <v>0</v>
      </c>
      <c r="D45" s="11" t="n">
        <f aca="false">SUMIF('BOM by Location'!$E$5:$E$170,A45,'BOM by Location'!$G$5:$G$170)</f>
        <v>2</v>
      </c>
      <c r="E45" s="23" t="n">
        <f aca="false">D45-C45</f>
        <v>2</v>
      </c>
      <c r="F45" s="11" t="s">
        <v>34</v>
      </c>
      <c r="G45" s="11" t="s">
        <v>391</v>
      </c>
    </row>
    <row r="46" customFormat="false" ht="15" hidden="false" customHeight="false" outlineLevel="0" collapsed="false">
      <c r="A46" s="11" t="s">
        <v>316</v>
      </c>
      <c r="B46" s="11" t="s">
        <v>317</v>
      </c>
      <c r="C46" s="12" t="n">
        <v>0</v>
      </c>
      <c r="D46" s="11" t="n">
        <f aca="false">SUMIF('BOM by Location'!$E$5:$E$170,A46,'BOM by Location'!$G$5:$G$170)</f>
        <v>1</v>
      </c>
      <c r="E46" s="23" t="n">
        <f aca="false">D46-C46</f>
        <v>1</v>
      </c>
      <c r="F46" s="11" t="s">
        <v>34</v>
      </c>
      <c r="G46" s="11" t="s">
        <v>391</v>
      </c>
    </row>
    <row r="47" customFormat="false" ht="23.85" hidden="false" customHeight="false" outlineLevel="0" collapsed="false">
      <c r="A47" s="11" t="s">
        <v>320</v>
      </c>
      <c r="B47" s="11" t="s">
        <v>321</v>
      </c>
      <c r="C47" s="12" t="n">
        <v>0</v>
      </c>
      <c r="D47" s="11" t="n">
        <f aca="false">SUMIF('BOM by Location'!$E$5:$E$170,A47,'BOM by Location'!$G$5:$G$170)</f>
        <v>2</v>
      </c>
      <c r="E47" s="23" t="n">
        <f aca="false">D47-C47</f>
        <v>2</v>
      </c>
      <c r="F47" s="11" t="s">
        <v>34</v>
      </c>
      <c r="G47" s="11" t="s">
        <v>391</v>
      </c>
    </row>
    <row r="48" customFormat="false" ht="15" hidden="false" customHeight="false" outlineLevel="0" collapsed="false">
      <c r="A48" s="11" t="s">
        <v>324</v>
      </c>
      <c r="B48" s="11" t="s">
        <v>325</v>
      </c>
      <c r="C48" s="12" t="n">
        <v>0</v>
      </c>
      <c r="D48" s="11" t="n">
        <f aca="false">SUMIF('BOM by Location'!$E$5:$E$170,A48,'BOM by Location'!$G$5:$G$170)</f>
        <v>1</v>
      </c>
      <c r="E48" s="23" t="n">
        <f aca="false">D48-C48</f>
        <v>1</v>
      </c>
      <c r="F48" s="11" t="s">
        <v>34</v>
      </c>
      <c r="G48" s="11" t="s">
        <v>391</v>
      </c>
    </row>
    <row r="49" customFormat="false" ht="15" hidden="false" customHeight="false" outlineLevel="0" collapsed="false">
      <c r="A49" s="11" t="s">
        <v>334</v>
      </c>
      <c r="B49" s="11" t="s">
        <v>335</v>
      </c>
      <c r="C49" s="12" t="n">
        <v>0</v>
      </c>
      <c r="D49" s="11" t="n">
        <f aca="false">SUMIF('BOM by Location'!$E$5:$E$170,A49,'BOM by Location'!$G$5:$G$170)</f>
        <v>1</v>
      </c>
      <c r="E49" s="23" t="n">
        <f aca="false">D49-C49</f>
        <v>1</v>
      </c>
      <c r="F49" s="11" t="s">
        <v>34</v>
      </c>
      <c r="G49" s="11" t="s">
        <v>391</v>
      </c>
    </row>
    <row r="51" customFormat="false" ht="15" hidden="false" customHeight="false" outlineLevel="0" collapsed="false">
      <c r="A51" s="2" t="s">
        <v>392</v>
      </c>
    </row>
    <row r="52" customFormat="false" ht="42" hidden="false" customHeight="true" outlineLevel="0" collapsed="false">
      <c r="A52" s="2" t="s">
        <v>393</v>
      </c>
      <c r="B52" s="27" t="s">
        <v>394</v>
      </c>
      <c r="C52" s="27"/>
      <c r="D52" s="27"/>
      <c r="E52" s="27"/>
      <c r="F52" s="27"/>
      <c r="G52" s="27"/>
    </row>
    <row r="53" customFormat="false" ht="42" hidden="false" customHeight="true" outlineLevel="0" collapsed="false">
      <c r="A53" s="2" t="s">
        <v>395</v>
      </c>
      <c r="B53" s="27" t="s">
        <v>396</v>
      </c>
      <c r="C53" s="27"/>
      <c r="D53" s="27"/>
      <c r="E53" s="27"/>
      <c r="F53" s="27"/>
      <c r="G53" s="27"/>
    </row>
    <row r="54" customFormat="false" ht="42" hidden="false" customHeight="true" outlineLevel="0" collapsed="false">
      <c r="A54" s="2" t="s">
        <v>397</v>
      </c>
      <c r="B54" s="27" t="s">
        <v>398</v>
      </c>
      <c r="C54" s="27"/>
      <c r="D54" s="27"/>
      <c r="E54" s="27"/>
      <c r="F54" s="27"/>
      <c r="G54" s="27"/>
    </row>
  </sheetData>
  <mergeCells count="3">
    <mergeCell ref="B52:G52"/>
    <mergeCell ref="B53:G53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10" min="7" style="0" width="11"/>
    <col collapsed="false" customWidth="true" hidden="false" outlineLevel="0" max="12" min="11" style="0" width="9"/>
  </cols>
  <sheetData>
    <row r="1" customFormat="false" ht="17.35" hidden="false" customHeight="false" outlineLevel="0" collapsed="false">
      <c r="A1" s="1" t="s">
        <v>399</v>
      </c>
    </row>
    <row r="3" customFormat="false" ht="15" hidden="false" customHeight="false" outlineLevel="0" collapsed="false">
      <c r="A3" s="2" t="s">
        <v>400</v>
      </c>
      <c r="B3" s="28" t="n">
        <v>0.2</v>
      </c>
      <c r="C3" s="7" t="s">
        <v>401</v>
      </c>
    </row>
    <row r="5" customFormat="false" ht="23.85" hidden="false" customHeight="false" outlineLevel="0" collapsed="false">
      <c r="A5" s="8" t="s">
        <v>402</v>
      </c>
      <c r="B5" s="8" t="s">
        <v>403</v>
      </c>
      <c r="C5" s="8" t="s">
        <v>404</v>
      </c>
      <c r="D5" s="8" t="s">
        <v>405</v>
      </c>
      <c r="E5" s="8" t="s">
        <v>406</v>
      </c>
      <c r="F5" s="8" t="s">
        <v>407</v>
      </c>
      <c r="G5" s="8" t="s">
        <v>408</v>
      </c>
      <c r="H5" s="8" t="s">
        <v>409</v>
      </c>
      <c r="I5" s="8" t="s">
        <v>410</v>
      </c>
      <c r="J5" s="8" t="s">
        <v>411</v>
      </c>
      <c r="K5" s="8" t="s">
        <v>412</v>
      </c>
      <c r="L5" s="8" t="s">
        <v>413</v>
      </c>
    </row>
    <row r="6" customFormat="false" ht="15" hidden="false" customHeight="false" outlineLevel="0" collapsed="false">
      <c r="A6" s="24" t="s">
        <v>414</v>
      </c>
      <c r="B6" s="24" t="s">
        <v>415</v>
      </c>
      <c r="C6" s="24" t="s">
        <v>416</v>
      </c>
      <c r="D6" s="29" t="n">
        <v>138</v>
      </c>
      <c r="E6" s="24" t="n">
        <f aca="false">ROUNDUP(D6*(1+$B$3),0)</f>
        <v>166</v>
      </c>
      <c r="F6" s="24" t="s">
        <v>132</v>
      </c>
      <c r="G6" s="24" t="n">
        <v>32</v>
      </c>
      <c r="H6" s="24" t="n">
        <f aca="false">SUMIFS('BOM by Location'!$G$5:$G$170,'BOM by Location'!$E$5:$E$170,F6,'BOM by Location'!$B$5:$B$170,"B")+SUMIFS('BOM by Location'!$G$5:$G$170,'BOM by Location'!$E$5:$E$170,F6,'BOM by Location'!$B$5:$B$170,"C")</f>
        <v>6</v>
      </c>
      <c r="I6" s="24" t="n">
        <f aca="false">G6*H6</f>
        <v>192</v>
      </c>
      <c r="J6" s="24" t="n">
        <f aca="false">I6-D6</f>
        <v>54</v>
      </c>
      <c r="K6" s="30" t="n">
        <f aca="false">IF(I6=0,0,J6/I6)</f>
        <v>0.28125</v>
      </c>
      <c r="L6" s="24" t="str">
        <f aca="false">IF(I6&gt;=E6,"OK","SHORT")</f>
        <v>OK</v>
      </c>
    </row>
    <row r="7" customFormat="false" ht="15" hidden="false" customHeight="false" outlineLevel="0" collapsed="false">
      <c r="A7" s="24" t="s">
        <v>414</v>
      </c>
      <c r="B7" s="24" t="s">
        <v>415</v>
      </c>
      <c r="C7" s="24" t="s">
        <v>417</v>
      </c>
      <c r="D7" s="29" t="n">
        <v>26</v>
      </c>
      <c r="E7" s="24" t="n">
        <f aca="false">ROUNDUP(D7*(1+$B$3),0)</f>
        <v>32</v>
      </c>
      <c r="F7" s="24" t="s">
        <v>134</v>
      </c>
      <c r="G7" s="24" t="n">
        <v>32</v>
      </c>
      <c r="H7" s="24" t="n">
        <f aca="false">SUMIFS('BOM by Location'!$G$5:$G$170,'BOM by Location'!$E$5:$E$170,F7,'BOM by Location'!$B$5:$B$170,"B")+SUMIFS('BOM by Location'!$G$5:$G$170,'BOM by Location'!$E$5:$E$170,F7,'BOM by Location'!$B$5:$B$170,"C")</f>
        <v>3</v>
      </c>
      <c r="I7" s="24" t="n">
        <f aca="false">G7*H7</f>
        <v>96</v>
      </c>
      <c r="J7" s="24" t="n">
        <f aca="false">I7-D7</f>
        <v>70</v>
      </c>
      <c r="K7" s="30" t="n">
        <f aca="false">IF(I7=0,0,J7/I7)</f>
        <v>0.729166666666667</v>
      </c>
      <c r="L7" s="24" t="str">
        <f aca="false">IF(I7&gt;=E7,"OK","SHORT")</f>
        <v>OK</v>
      </c>
    </row>
    <row r="8" customFormat="false" ht="15" hidden="false" customHeight="false" outlineLevel="0" collapsed="false">
      <c r="A8" s="24" t="s">
        <v>418</v>
      </c>
      <c r="B8" s="24" t="s">
        <v>186</v>
      </c>
      <c r="C8" s="24" t="s">
        <v>416</v>
      </c>
      <c r="D8" s="29" t="n">
        <v>29</v>
      </c>
      <c r="E8" s="24" t="n">
        <f aca="false">ROUNDUP(D8*(1+$B$3),0)</f>
        <v>35</v>
      </c>
      <c r="F8" s="24" t="s">
        <v>196</v>
      </c>
      <c r="G8" s="24" t="n">
        <v>16</v>
      </c>
      <c r="H8" s="24" t="n">
        <f aca="false">SUMIFS('BOM by Location'!$G$5:$G$170,'BOM by Location'!$E$5:$E$170,F8,'BOM by Location'!$B$5:$B$170,"E1")</f>
        <v>4</v>
      </c>
      <c r="I8" s="24" t="n">
        <f aca="false">G8*H8</f>
        <v>64</v>
      </c>
      <c r="J8" s="24" t="n">
        <f aca="false">I8-D8</f>
        <v>35</v>
      </c>
      <c r="K8" s="30" t="n">
        <f aca="false">IF(I8=0,0,J8/I8)</f>
        <v>0.546875</v>
      </c>
      <c r="L8" s="24" t="str">
        <f aca="false">IF(I8&gt;=E8,"OK","SHORT")</f>
        <v>OK</v>
      </c>
    </row>
    <row r="9" customFormat="false" ht="15" hidden="false" customHeight="false" outlineLevel="0" collapsed="false">
      <c r="A9" s="24" t="s">
        <v>418</v>
      </c>
      <c r="B9" s="24" t="s">
        <v>186</v>
      </c>
      <c r="C9" s="24" t="s">
        <v>417</v>
      </c>
      <c r="D9" s="29" t="n">
        <v>11</v>
      </c>
      <c r="E9" s="24" t="n">
        <f aca="false">ROUNDUP(D9*(1+$B$3),0)</f>
        <v>14</v>
      </c>
      <c r="F9" s="24" t="s">
        <v>202</v>
      </c>
      <c r="G9" s="24" t="n">
        <v>16</v>
      </c>
      <c r="H9" s="24" t="n">
        <f aca="false">SUMIFS('BOM by Location'!$G$5:$G$170,'BOM by Location'!$E$5:$E$170,F9,'BOM by Location'!$B$5:$B$170,"E1")</f>
        <v>2</v>
      </c>
      <c r="I9" s="24" t="n">
        <f aca="false">G9*H9</f>
        <v>32</v>
      </c>
      <c r="J9" s="24" t="n">
        <f aca="false">I9-D9</f>
        <v>21</v>
      </c>
      <c r="K9" s="30" t="n">
        <f aca="false">IF(I9=0,0,J9/I9)</f>
        <v>0.65625</v>
      </c>
      <c r="L9" s="24" t="str">
        <f aca="false">IF(I9&gt;=E9,"OK","SHORT")</f>
        <v>OK</v>
      </c>
    </row>
    <row r="10" customFormat="false" ht="15" hidden="false" customHeight="false" outlineLevel="0" collapsed="false">
      <c r="A10" s="24" t="s">
        <v>419</v>
      </c>
      <c r="B10" s="24" t="s">
        <v>235</v>
      </c>
      <c r="C10" s="24" t="s">
        <v>416</v>
      </c>
      <c r="D10" s="29" t="n">
        <v>29</v>
      </c>
      <c r="E10" s="24" t="n">
        <f aca="false">ROUNDUP(D10*(1+$B$3),0)</f>
        <v>35</v>
      </c>
      <c r="F10" s="24" t="s">
        <v>196</v>
      </c>
      <c r="G10" s="24" t="n">
        <v>16</v>
      </c>
      <c r="H10" s="24" t="n">
        <f aca="false">SUMIFS('BOM by Location'!$G$5:$G$170,'BOM by Location'!$E$5:$E$170,F10,'BOM by Location'!$B$5:$B$170,"E2")</f>
        <v>3</v>
      </c>
      <c r="I10" s="24" t="n">
        <f aca="false">G10*H10</f>
        <v>48</v>
      </c>
      <c r="J10" s="24" t="n">
        <f aca="false">I10-D10</f>
        <v>19</v>
      </c>
      <c r="K10" s="30" t="n">
        <f aca="false">IF(I10=0,0,J10/I10)</f>
        <v>0.395833333333333</v>
      </c>
      <c r="L10" s="24" t="str">
        <f aca="false">IF(I10&gt;=E10,"OK","SHORT")</f>
        <v>OK</v>
      </c>
    </row>
    <row r="11" customFormat="false" ht="15" hidden="false" customHeight="false" outlineLevel="0" collapsed="false">
      <c r="A11" s="24" t="s">
        <v>419</v>
      </c>
      <c r="B11" s="24" t="s">
        <v>235</v>
      </c>
      <c r="C11" s="24" t="s">
        <v>417</v>
      </c>
      <c r="D11" s="29" t="n">
        <v>11</v>
      </c>
      <c r="E11" s="24" t="n">
        <f aca="false">ROUNDUP(D11*(1+$B$3),0)</f>
        <v>14</v>
      </c>
      <c r="F11" s="24" t="s">
        <v>202</v>
      </c>
      <c r="G11" s="24" t="n">
        <v>16</v>
      </c>
      <c r="H11" s="24" t="n">
        <f aca="false">SUMIFS('BOM by Location'!$G$5:$G$170,'BOM by Location'!$E$5:$E$170,F11,'BOM by Location'!$B$5:$B$170,"E2")</f>
        <v>1</v>
      </c>
      <c r="I11" s="24" t="n">
        <f aca="false">G11*H11</f>
        <v>16</v>
      </c>
      <c r="J11" s="24" t="n">
        <f aca="false">I11-D11</f>
        <v>5</v>
      </c>
      <c r="K11" s="30" t="n">
        <f aca="false">IF(I11=0,0,J11/I11)</f>
        <v>0.3125</v>
      </c>
      <c r="L11" s="24" t="str">
        <f aca="false">IF(I11&gt;=E11,"OK","SHORT")</f>
        <v>OK</v>
      </c>
    </row>
    <row r="12" customFormat="false" ht="15" hidden="false" customHeight="false" outlineLevel="0" collapsed="false">
      <c r="A12" s="24" t="s">
        <v>420</v>
      </c>
      <c r="B12" s="24" t="s">
        <v>244</v>
      </c>
      <c r="C12" s="24" t="s">
        <v>416</v>
      </c>
      <c r="D12" s="29" t="n">
        <v>16</v>
      </c>
      <c r="E12" s="24" t="n">
        <f aca="false">ROUNDUP(D12*(1+$B$3),0)</f>
        <v>20</v>
      </c>
      <c r="F12" s="24" t="s">
        <v>196</v>
      </c>
      <c r="G12" s="24" t="n">
        <v>16</v>
      </c>
      <c r="H12" s="24" t="n">
        <f aca="false">SUMIFS('BOM by Location'!$G$5:$G$170,'BOM by Location'!$E$5:$E$170,F12,'BOM by Location'!$B$5:$B$170,"F")</f>
        <v>12</v>
      </c>
      <c r="I12" s="24" t="n">
        <f aca="false">G12*H12</f>
        <v>192</v>
      </c>
      <c r="J12" s="24" t="n">
        <f aca="false">I12-D12</f>
        <v>176</v>
      </c>
      <c r="K12" s="30" t="n">
        <f aca="false">IF(I12=0,0,J12/I12)</f>
        <v>0.916666666666667</v>
      </c>
      <c r="L12" s="24" t="str">
        <f aca="false">IF(I12&gt;=E12,"OK","SHORT")</f>
        <v>OK</v>
      </c>
    </row>
    <row r="13" customFormat="false" ht="15" hidden="false" customHeight="false" outlineLevel="0" collapsed="false">
      <c r="A13" s="24" t="s">
        <v>420</v>
      </c>
      <c r="B13" s="24" t="s">
        <v>244</v>
      </c>
      <c r="C13" s="24" t="s">
        <v>417</v>
      </c>
      <c r="D13" s="29" t="n">
        <v>0</v>
      </c>
      <c r="E13" s="24" t="n">
        <f aca="false">ROUNDUP(D13*(1+$B$3),0)</f>
        <v>0</v>
      </c>
      <c r="F13" s="24" t="s">
        <v>202</v>
      </c>
      <c r="G13" s="24" t="n">
        <v>16</v>
      </c>
      <c r="H13" s="24" t="n">
        <f aca="false">SUMIFS('BOM by Location'!$G$5:$G$170,'BOM by Location'!$E$5:$E$170,F13,'BOM by Location'!$B$5:$B$170,"F")</f>
        <v>4</v>
      </c>
      <c r="I13" s="24" t="n">
        <f aca="false">G13*H13</f>
        <v>64</v>
      </c>
      <c r="J13" s="24" t="n">
        <f aca="false">I13-D13</f>
        <v>64</v>
      </c>
      <c r="K13" s="30" t="n">
        <f aca="false">IF(I13=0,0,J13/I13)</f>
        <v>1</v>
      </c>
      <c r="L13" s="24" t="str">
        <f aca="false">IF(I13&gt;=E13,"OK","SHORT")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2026-10-22T19:28:02Z</dcterms:created>
  <dc:creator>openpyxl</dc:creator>
  <dc:description/>
  <dc:language>en-US</dc:language>
  <cp:lastModifiedBy/>
  <dcterms:modified xsi:type="dcterms:W3CDTF">2026-10-22T19:28:03Z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